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xy2401\codePublic2026\ai_skill_2026.private\res\人工智能训练师三级上网素材\3.1.5\"/>
    </mc:Choice>
  </mc:AlternateContent>
  <xr:revisionPtr revIDLastSave="0" documentId="13_ncr:1_{65E5AD72-B442-4B94-BB2D-F466F79FCA8C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</sheets>
  <calcPr calcId="191029"/>
  <pivotCaches>
    <pivotCache cacheId="3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 a="1"/>
  <c r="H3" i="1" s="1"/>
  <c r="H4" i="1" a="1"/>
  <c r="H4" i="1"/>
  <c r="H5" i="1" a="1"/>
  <c r="H5" i="1" s="1"/>
  <c r="H6" i="1" a="1"/>
  <c r="H6" i="1" s="1"/>
  <c r="H7" i="1" a="1"/>
  <c r="H7" i="1" s="1"/>
  <c r="H8" i="1" a="1"/>
  <c r="H8" i="1" s="1"/>
  <c r="H9" i="1" a="1"/>
  <c r="H9" i="1" s="1"/>
  <c r="H10" i="1" a="1"/>
  <c r="H10" i="1" s="1"/>
  <c r="H11" i="1" a="1"/>
  <c r="H11" i="1" s="1"/>
  <c r="H12" i="1" a="1"/>
  <c r="H12" i="1"/>
  <c r="H13" i="1" a="1"/>
  <c r="H13" i="1" s="1"/>
  <c r="H14" i="1" a="1"/>
  <c r="H14" i="1" s="1"/>
  <c r="H15" i="1" a="1"/>
  <c r="H15" i="1"/>
  <c r="H16" i="1" a="1"/>
  <c r="H16" i="1" s="1"/>
  <c r="H17" i="1" a="1"/>
  <c r="H17" i="1" s="1"/>
  <c r="H18" i="1" a="1"/>
  <c r="H18" i="1"/>
  <c r="H19" i="1" a="1"/>
  <c r="H19" i="1" s="1"/>
  <c r="H20" i="1" a="1"/>
  <c r="H20" i="1"/>
  <c r="H21" i="1" a="1"/>
  <c r="H21" i="1" s="1"/>
  <c r="H22" i="1" a="1"/>
  <c r="H22" i="1" s="1"/>
  <c r="H23" i="1" a="1"/>
  <c r="H23" i="1" s="1"/>
  <c r="H24" i="1" a="1"/>
  <c r="H24" i="1" s="1"/>
  <c r="H25" i="1" a="1"/>
  <c r="H25" i="1" s="1"/>
  <c r="H26" i="1" a="1"/>
  <c r="H26" i="1" s="1"/>
  <c r="H27" i="1" a="1"/>
  <c r="H27" i="1" s="1"/>
  <c r="H28" i="1" a="1"/>
  <c r="H28" i="1"/>
  <c r="H29" i="1" a="1"/>
  <c r="H29" i="1" s="1"/>
  <c r="H30" i="1" a="1"/>
  <c r="H30" i="1" s="1"/>
  <c r="H31" i="1" a="1"/>
  <c r="H31" i="1" s="1"/>
  <c r="H32" i="1" a="1"/>
  <c r="H32" i="1" s="1"/>
  <c r="H33" i="1" a="1"/>
  <c r="H33" i="1" s="1"/>
  <c r="H34" i="1" a="1"/>
  <c r="H34" i="1"/>
  <c r="H35" i="1" a="1"/>
  <c r="H35" i="1" s="1"/>
  <c r="H36" i="1" a="1"/>
  <c r="H36" i="1"/>
  <c r="H37" i="1" a="1"/>
  <c r="H37" i="1" s="1"/>
  <c r="H38" i="1" a="1"/>
  <c r="H38" i="1" s="1"/>
  <c r="H39" i="1" a="1"/>
  <c r="H39" i="1" s="1"/>
  <c r="H40" i="1" a="1"/>
  <c r="H40" i="1" s="1"/>
  <c r="H41" i="1" a="1"/>
  <c r="H41" i="1" s="1"/>
  <c r="H42" i="1" a="1"/>
  <c r="H42" i="1" s="1"/>
  <c r="H43" i="1" a="1"/>
  <c r="H43" i="1" s="1"/>
  <c r="H44" i="1" a="1"/>
  <c r="H44" i="1" s="1"/>
  <c r="H45" i="1" a="1"/>
  <c r="H45" i="1" s="1"/>
  <c r="H46" i="1" a="1"/>
  <c r="H46" i="1" s="1"/>
  <c r="H47" i="1" a="1"/>
  <c r="H47" i="1" s="1"/>
  <c r="H48" i="1" a="1"/>
  <c r="H48" i="1" s="1"/>
  <c r="H49" i="1" a="1"/>
  <c r="H49" i="1" s="1"/>
  <c r="H50" i="1" a="1"/>
  <c r="H50" i="1"/>
  <c r="H51" i="1" a="1"/>
  <c r="H51" i="1" s="1"/>
  <c r="H52" i="1" a="1"/>
  <c r="H52" i="1"/>
  <c r="H53" i="1" a="1"/>
  <c r="H53" i="1" s="1"/>
  <c r="H54" i="1" a="1"/>
  <c r="H54" i="1" s="1"/>
  <c r="H55" i="1" a="1"/>
  <c r="H55" i="1" s="1"/>
  <c r="H56" i="1" a="1"/>
  <c r="H56" i="1" s="1"/>
  <c r="H57" i="1" a="1"/>
  <c r="H57" i="1" s="1"/>
  <c r="H58" i="1" a="1"/>
  <c r="H58" i="1" s="1"/>
  <c r="H59" i="1" a="1"/>
  <c r="H59" i="1" s="1"/>
  <c r="H60" i="1" a="1"/>
  <c r="H60" i="1" s="1"/>
  <c r="H61" i="1" a="1"/>
  <c r="H61" i="1" s="1"/>
  <c r="H62" i="1" a="1"/>
  <c r="H62" i="1" s="1"/>
  <c r="H63" i="1" a="1"/>
  <c r="H63" i="1" s="1"/>
  <c r="H64" i="1" a="1"/>
  <c r="H64" i="1" s="1"/>
  <c r="H65" i="1" a="1"/>
  <c r="H65" i="1" s="1"/>
  <c r="H66" i="1" a="1"/>
  <c r="H66" i="1"/>
  <c r="H67" i="1" a="1"/>
  <c r="H67" i="1" s="1"/>
  <c r="H68" i="1" a="1"/>
  <c r="H68" i="1"/>
  <c r="H69" i="1" a="1"/>
  <c r="H69" i="1" s="1"/>
  <c r="H70" i="1" a="1"/>
  <c r="H70" i="1" s="1"/>
  <c r="H71" i="1" a="1"/>
  <c r="H71" i="1" s="1"/>
  <c r="H72" i="1" a="1"/>
  <c r="H72" i="1" s="1"/>
  <c r="H73" i="1" a="1"/>
  <c r="H73" i="1" s="1"/>
  <c r="H74" i="1" a="1"/>
  <c r="H74" i="1" s="1"/>
  <c r="H75" i="1" a="1"/>
  <c r="H75" i="1" s="1"/>
  <c r="H76" i="1" a="1"/>
  <c r="H76" i="1" s="1"/>
  <c r="H77" i="1" a="1"/>
  <c r="H77" i="1" s="1"/>
  <c r="H78" i="1" a="1"/>
  <c r="H78" i="1" s="1"/>
  <c r="H79" i="1" a="1"/>
  <c r="H79" i="1" s="1"/>
  <c r="H80" i="1" a="1"/>
  <c r="H80" i="1" s="1"/>
  <c r="H81" i="1" a="1"/>
  <c r="H81" i="1" s="1"/>
  <c r="H82" i="1" a="1"/>
  <c r="H82" i="1"/>
  <c r="H83" i="1" a="1"/>
  <c r="H83" i="1" s="1"/>
  <c r="H84" i="1" a="1"/>
  <c r="H84" i="1"/>
  <c r="H85" i="1" a="1"/>
  <c r="H85" i="1" s="1"/>
  <c r="H86" i="1" a="1"/>
  <c r="H86" i="1" s="1"/>
  <c r="H87" i="1" a="1"/>
  <c r="H87" i="1" s="1"/>
  <c r="H88" i="1" a="1"/>
  <c r="H88" i="1" s="1"/>
  <c r="H89" i="1" a="1"/>
  <c r="H89" i="1" s="1"/>
  <c r="H90" i="1" a="1"/>
  <c r="H90" i="1" s="1"/>
  <c r="H91" i="1" a="1"/>
  <c r="H91" i="1" s="1"/>
  <c r="H92" i="1" a="1"/>
  <c r="H92" i="1" s="1"/>
  <c r="H93" i="1" a="1"/>
  <c r="H93" i="1" s="1"/>
  <c r="H94" i="1" a="1"/>
  <c r="H94" i="1" s="1"/>
  <c r="H95" i="1" a="1"/>
  <c r="H95" i="1" s="1"/>
  <c r="H96" i="1" a="1"/>
  <c r="H96" i="1" s="1"/>
  <c r="H97" i="1" a="1"/>
  <c r="H97" i="1" s="1"/>
  <c r="H98" i="1" a="1"/>
  <c r="H98" i="1"/>
  <c r="H99" i="1" a="1"/>
  <c r="H99" i="1" s="1"/>
  <c r="H100" i="1" a="1"/>
  <c r="H100" i="1"/>
  <c r="H101" i="1" a="1"/>
  <c r="H101" i="1" s="1"/>
  <c r="H102" i="1" a="1"/>
  <c r="H102" i="1" s="1"/>
  <c r="H103" i="1" a="1"/>
  <c r="H103" i="1" s="1"/>
  <c r="H104" i="1" a="1"/>
  <c r="H104" i="1" s="1"/>
  <c r="H105" i="1" a="1"/>
  <c r="H105" i="1" s="1"/>
  <c r="H106" i="1" a="1"/>
  <c r="H106" i="1" s="1"/>
  <c r="H107" i="1" a="1"/>
  <c r="H107" i="1" s="1"/>
  <c r="H108" i="1" a="1"/>
  <c r="H108" i="1" s="1"/>
  <c r="H109" i="1" a="1"/>
  <c r="H109" i="1" s="1"/>
  <c r="H110" i="1" a="1"/>
  <c r="H110" i="1" s="1"/>
  <c r="H111" i="1" a="1"/>
  <c r="H111" i="1" s="1"/>
  <c r="H112" i="1" a="1"/>
  <c r="H112" i="1" s="1"/>
  <c r="H113" i="1" a="1"/>
  <c r="H113" i="1" s="1"/>
  <c r="H114" i="1" a="1"/>
  <c r="H114" i="1"/>
  <c r="H115" i="1" a="1"/>
  <c r="H115" i="1" s="1"/>
  <c r="H116" i="1" a="1"/>
  <c r="H116" i="1"/>
  <c r="H117" i="1" a="1"/>
  <c r="H117" i="1" s="1"/>
  <c r="H118" i="1" a="1"/>
  <c r="H118" i="1" s="1"/>
  <c r="H119" i="1" a="1"/>
  <c r="H119" i="1" s="1"/>
  <c r="H120" i="1" a="1"/>
  <c r="H120" i="1" s="1"/>
  <c r="H121" i="1" a="1"/>
  <c r="H121" i="1" s="1"/>
  <c r="H122" i="1" a="1"/>
  <c r="H122" i="1" s="1"/>
  <c r="H123" i="1" a="1"/>
  <c r="H123" i="1" s="1"/>
  <c r="H124" i="1" a="1"/>
  <c r="H124" i="1" s="1"/>
  <c r="H125" i="1" a="1"/>
  <c r="H125" i="1" s="1"/>
  <c r="H126" i="1" a="1"/>
  <c r="H126" i="1" s="1"/>
  <c r="H127" i="1" a="1"/>
  <c r="H127" i="1" s="1"/>
  <c r="H128" i="1" a="1"/>
  <c r="H128" i="1" s="1"/>
  <c r="H129" i="1" a="1"/>
  <c r="H129" i="1" s="1"/>
  <c r="H130" i="1" a="1"/>
  <c r="H130" i="1"/>
  <c r="H131" i="1" a="1"/>
  <c r="H131" i="1" s="1"/>
  <c r="H132" i="1" a="1"/>
  <c r="H132" i="1"/>
  <c r="H133" i="1" a="1"/>
  <c r="H133" i="1" s="1"/>
  <c r="H134" i="1" a="1"/>
  <c r="H134" i="1" s="1"/>
  <c r="H135" i="1" a="1"/>
  <c r="H135" i="1" s="1"/>
  <c r="H136" i="1" a="1"/>
  <c r="H136" i="1" s="1"/>
  <c r="H137" i="1" a="1"/>
  <c r="H137" i="1" s="1"/>
  <c r="H138" i="1" a="1"/>
  <c r="H138" i="1" s="1"/>
  <c r="H139" i="1" a="1"/>
  <c r="H139" i="1" s="1"/>
  <c r="H140" i="1" a="1"/>
  <c r="H140" i="1" s="1"/>
  <c r="H141" i="1" a="1"/>
  <c r="H141" i="1" s="1"/>
  <c r="H142" i="1" a="1"/>
  <c r="H142" i="1" s="1"/>
  <c r="H143" i="1" a="1"/>
  <c r="H143" i="1" s="1"/>
  <c r="H144" i="1" a="1"/>
  <c r="H144" i="1" s="1"/>
  <c r="H145" i="1" a="1"/>
  <c r="H145" i="1" s="1"/>
  <c r="H146" i="1" a="1"/>
  <c r="H146" i="1"/>
  <c r="H147" i="1" a="1"/>
  <c r="H147" i="1" s="1"/>
  <c r="H148" i="1" a="1"/>
  <c r="H148" i="1"/>
  <c r="H149" i="1" a="1"/>
  <c r="H149" i="1" s="1"/>
  <c r="H150" i="1" a="1"/>
  <c r="H150" i="1" s="1"/>
  <c r="H151" i="1" a="1"/>
  <c r="H151" i="1" s="1"/>
  <c r="H152" i="1" a="1"/>
  <c r="H152" i="1" s="1"/>
  <c r="H153" i="1" a="1"/>
  <c r="H153" i="1" s="1"/>
  <c r="H154" i="1" a="1"/>
  <c r="H154" i="1" s="1"/>
  <c r="H155" i="1" a="1"/>
  <c r="H155" i="1" s="1"/>
  <c r="H156" i="1" a="1"/>
  <c r="H156" i="1" s="1"/>
  <c r="H157" i="1" a="1"/>
  <c r="H157" i="1" s="1"/>
  <c r="H158" i="1" a="1"/>
  <c r="H158" i="1" s="1"/>
  <c r="H159" i="1" a="1"/>
  <c r="H159" i="1" s="1"/>
  <c r="H160" i="1" a="1"/>
  <c r="H160" i="1" s="1"/>
  <c r="H161" i="1" a="1"/>
  <c r="H161" i="1" s="1"/>
  <c r="H162" i="1" a="1"/>
  <c r="H162" i="1"/>
  <c r="H163" i="1" a="1"/>
  <c r="H163" i="1" s="1"/>
  <c r="H164" i="1" a="1"/>
  <c r="H164" i="1"/>
  <c r="H165" i="1" a="1"/>
  <c r="H165" i="1" s="1"/>
  <c r="H166" i="1" a="1"/>
  <c r="H166" i="1" s="1"/>
  <c r="H167" i="1" a="1"/>
  <c r="H167" i="1" s="1"/>
  <c r="H168" i="1" a="1"/>
  <c r="H168" i="1" s="1"/>
  <c r="H169" i="1" a="1"/>
  <c r="H169" i="1" s="1"/>
  <c r="H170" i="1" a="1"/>
  <c r="H170" i="1" s="1"/>
  <c r="H171" i="1" a="1"/>
  <c r="H171" i="1" s="1"/>
  <c r="H172" i="1" a="1"/>
  <c r="H172" i="1" s="1"/>
  <c r="H173" i="1" a="1"/>
  <c r="H173" i="1" s="1"/>
  <c r="H174" i="1" a="1"/>
  <c r="H174" i="1" s="1"/>
  <c r="H175" i="1" a="1"/>
  <c r="H175" i="1" s="1"/>
  <c r="H176" i="1" a="1"/>
  <c r="H176" i="1" s="1"/>
  <c r="H177" i="1" a="1"/>
  <c r="H177" i="1" s="1"/>
  <c r="H178" i="1" a="1"/>
  <c r="H178" i="1"/>
  <c r="H179" i="1" a="1"/>
  <c r="H179" i="1" s="1"/>
  <c r="H180" i="1" a="1"/>
  <c r="H180" i="1"/>
  <c r="H181" i="1" a="1"/>
  <c r="H181" i="1" s="1"/>
  <c r="H182" i="1" a="1"/>
  <c r="H182" i="1" s="1"/>
  <c r="H183" i="1" a="1"/>
  <c r="H183" i="1" s="1"/>
  <c r="H184" i="1" a="1"/>
  <c r="H184" i="1" s="1"/>
  <c r="H185" i="1" a="1"/>
  <c r="H185" i="1" s="1"/>
  <c r="H186" i="1" a="1"/>
  <c r="H186" i="1" s="1"/>
  <c r="H187" i="1" a="1"/>
  <c r="H187" i="1" s="1"/>
  <c r="H188" i="1" a="1"/>
  <c r="H188" i="1" s="1"/>
  <c r="H189" i="1" a="1"/>
  <c r="H189" i="1" s="1"/>
  <c r="H190" i="1" a="1"/>
  <c r="H190" i="1" s="1"/>
  <c r="H191" i="1" a="1"/>
  <c r="H191" i="1" s="1"/>
  <c r="H192" i="1" a="1"/>
  <c r="H192" i="1" s="1"/>
  <c r="H193" i="1" a="1"/>
  <c r="H193" i="1" s="1"/>
  <c r="H194" i="1" a="1"/>
  <c r="H194" i="1"/>
  <c r="H195" i="1" a="1"/>
  <c r="H195" i="1" s="1"/>
  <c r="H196" i="1" a="1"/>
  <c r="H196" i="1"/>
  <c r="H197" i="1" a="1"/>
  <c r="H197" i="1" s="1"/>
  <c r="H198" i="1" a="1"/>
  <c r="H198" i="1" s="1"/>
  <c r="H199" i="1" a="1"/>
  <c r="H199" i="1" s="1"/>
  <c r="H200" i="1" a="1"/>
  <c r="H200" i="1" s="1"/>
  <c r="H201" i="1" a="1"/>
  <c r="H201" i="1" s="1"/>
  <c r="H202" i="1" a="1"/>
  <c r="H202" i="1" s="1"/>
  <c r="H203" i="1" a="1"/>
  <c r="H203" i="1" s="1"/>
  <c r="H204" i="1" a="1"/>
  <c r="H204" i="1" s="1"/>
  <c r="H205" i="1" a="1"/>
  <c r="H205" i="1" s="1"/>
  <c r="H206" i="1" a="1"/>
  <c r="H206" i="1" s="1"/>
  <c r="H207" i="1" a="1"/>
  <c r="H207" i="1" s="1"/>
  <c r="H208" i="1" a="1"/>
  <c r="H208" i="1" s="1"/>
  <c r="H209" i="1" a="1"/>
  <c r="H209" i="1" s="1"/>
  <c r="H210" i="1" a="1"/>
  <c r="H210" i="1"/>
  <c r="H211" i="1" a="1"/>
  <c r="H211" i="1" s="1"/>
  <c r="H212" i="1" a="1"/>
  <c r="H212" i="1"/>
  <c r="H213" i="1" a="1"/>
  <c r="H213" i="1" s="1"/>
  <c r="H214" i="1" a="1"/>
  <c r="H214" i="1" s="1"/>
  <c r="H215" i="1" a="1"/>
  <c r="H215" i="1" s="1"/>
  <c r="H216" i="1" a="1"/>
  <c r="H216" i="1" s="1"/>
  <c r="H217" i="1" a="1"/>
  <c r="H217" i="1" s="1"/>
  <c r="H218" i="1" a="1"/>
  <c r="H218" i="1" s="1"/>
  <c r="H219" i="1" a="1"/>
  <c r="H219" i="1" s="1"/>
  <c r="H220" i="1" a="1"/>
  <c r="H220" i="1" s="1"/>
  <c r="H221" i="1" a="1"/>
  <c r="H221" i="1" s="1"/>
  <c r="H222" i="1" a="1"/>
  <c r="H222" i="1" s="1"/>
  <c r="H223" i="1" a="1"/>
  <c r="H223" i="1" s="1"/>
  <c r="H224" i="1" a="1"/>
  <c r="H224" i="1" s="1"/>
  <c r="H225" i="1" a="1"/>
  <c r="H225" i="1" s="1"/>
  <c r="H226" i="1" a="1"/>
  <c r="H226" i="1"/>
  <c r="H227" i="1" a="1"/>
  <c r="H227" i="1" s="1"/>
  <c r="H228" i="1" a="1"/>
  <c r="H228" i="1"/>
  <c r="H229" i="1" a="1"/>
  <c r="H229" i="1" s="1"/>
  <c r="H230" i="1" a="1"/>
  <c r="H230" i="1" s="1"/>
  <c r="H231" i="1" a="1"/>
  <c r="H231" i="1" s="1"/>
  <c r="H232" i="1" a="1"/>
  <c r="H232" i="1" s="1"/>
  <c r="H233" i="1" a="1"/>
  <c r="H233" i="1" s="1"/>
  <c r="H234" i="1" a="1"/>
  <c r="H234" i="1" s="1"/>
  <c r="H235" i="1" a="1"/>
  <c r="H235" i="1" s="1"/>
  <c r="H236" i="1" a="1"/>
  <c r="H236" i="1" s="1"/>
  <c r="H237" i="1" a="1"/>
  <c r="H237" i="1" s="1"/>
  <c r="H238" i="1" a="1"/>
  <c r="H238" i="1" s="1"/>
  <c r="H239" i="1" a="1"/>
  <c r="H239" i="1" s="1"/>
  <c r="H240" i="1" a="1"/>
  <c r="H240" i="1" s="1"/>
  <c r="H241" i="1" a="1"/>
  <c r="H241" i="1" s="1"/>
  <c r="H242" i="1" a="1"/>
  <c r="H242" i="1"/>
  <c r="H243" i="1" a="1"/>
  <c r="H243" i="1" s="1"/>
  <c r="H244" i="1" a="1"/>
  <c r="H244" i="1"/>
  <c r="H245" i="1" a="1"/>
  <c r="H245" i="1" s="1"/>
  <c r="H246" i="1" a="1"/>
  <c r="H246" i="1" s="1"/>
  <c r="H247" i="1" a="1"/>
  <c r="H247" i="1" s="1"/>
  <c r="H248" i="1" a="1"/>
  <c r="H248" i="1" s="1"/>
  <c r="H249" i="1" a="1"/>
  <c r="H249" i="1" s="1"/>
  <c r="H250" i="1" a="1"/>
  <c r="H250" i="1" s="1"/>
  <c r="H251" i="1" a="1"/>
  <c r="H251" i="1" s="1"/>
  <c r="H252" i="1" a="1"/>
  <c r="H252" i="1" s="1"/>
  <c r="H253" i="1" a="1"/>
  <c r="H253" i="1" s="1"/>
  <c r="H254" i="1" a="1"/>
  <c r="H254" i="1" s="1"/>
  <c r="H255" i="1" a="1"/>
  <c r="H255" i="1" s="1"/>
  <c r="H256" i="1" a="1"/>
  <c r="H256" i="1" s="1"/>
  <c r="H257" i="1" a="1"/>
  <c r="H257" i="1" s="1"/>
  <c r="H258" i="1" a="1"/>
  <c r="H258" i="1"/>
  <c r="H259" i="1" a="1"/>
  <c r="H259" i="1" s="1"/>
  <c r="H260" i="1" a="1"/>
  <c r="H260" i="1"/>
  <c r="H261" i="1" a="1"/>
  <c r="H261" i="1" s="1"/>
  <c r="H262" i="1" a="1"/>
  <c r="H262" i="1" s="1"/>
  <c r="H263" i="1" a="1"/>
  <c r="H263" i="1" s="1"/>
  <c r="H264" i="1" a="1"/>
  <c r="H264" i="1" s="1"/>
  <c r="H265" i="1" a="1"/>
  <c r="H265" i="1" s="1"/>
  <c r="H266" i="1" a="1"/>
  <c r="H266" i="1" s="1"/>
  <c r="H267" i="1" a="1"/>
  <c r="H267" i="1" s="1"/>
  <c r="H268" i="1" a="1"/>
  <c r="H268" i="1" s="1"/>
  <c r="H269" i="1" a="1"/>
  <c r="H269" i="1" s="1"/>
  <c r="H270" i="1" a="1"/>
  <c r="H270" i="1" s="1"/>
  <c r="H271" i="1" a="1"/>
  <c r="H271" i="1" s="1"/>
  <c r="H272" i="1" a="1"/>
  <c r="H272" i="1" s="1"/>
  <c r="H273" i="1" a="1"/>
  <c r="H273" i="1" s="1"/>
  <c r="H274" i="1" a="1"/>
  <c r="H274" i="1"/>
  <c r="H275" i="1" a="1"/>
  <c r="H275" i="1" s="1"/>
  <c r="H276" i="1" a="1"/>
  <c r="H276" i="1" s="1"/>
  <c r="H277" i="1" a="1"/>
  <c r="H277" i="1" s="1"/>
  <c r="H278" i="1" a="1"/>
  <c r="H278" i="1" s="1"/>
  <c r="H279" i="1" a="1"/>
  <c r="H279" i="1" s="1"/>
  <c r="H280" i="1" a="1"/>
  <c r="H280" i="1" s="1"/>
  <c r="H281" i="1" a="1"/>
  <c r="H281" i="1" s="1"/>
  <c r="H282" i="1" a="1"/>
  <c r="H282" i="1" s="1"/>
  <c r="H283" i="1" a="1"/>
  <c r="H283" i="1" s="1"/>
  <c r="H284" i="1" a="1"/>
  <c r="H284" i="1" s="1"/>
  <c r="H285" i="1" a="1"/>
  <c r="H285" i="1" s="1"/>
  <c r="H286" i="1" a="1"/>
  <c r="H286" i="1" s="1"/>
  <c r="H287" i="1" a="1"/>
  <c r="H287" i="1" s="1"/>
  <c r="H288" i="1" a="1"/>
  <c r="H288" i="1" s="1"/>
  <c r="H289" i="1" a="1"/>
  <c r="H289" i="1" s="1"/>
  <c r="H290" i="1" a="1"/>
  <c r="H290" i="1"/>
  <c r="H291" i="1" a="1"/>
  <c r="H291" i="1" s="1"/>
  <c r="H292" i="1" a="1"/>
  <c r="H292" i="1"/>
  <c r="H293" i="1" a="1"/>
  <c r="H293" i="1" s="1"/>
  <c r="H294" i="1" a="1"/>
  <c r="H294" i="1" s="1"/>
  <c r="H295" i="1" a="1"/>
  <c r="H295" i="1" s="1"/>
  <c r="H296" i="1" a="1"/>
  <c r="H296" i="1" s="1"/>
  <c r="H297" i="1" a="1"/>
  <c r="H297" i="1" s="1"/>
  <c r="H298" i="1" a="1"/>
  <c r="H298" i="1" s="1"/>
  <c r="H299" i="1" a="1"/>
  <c r="H299" i="1" s="1"/>
  <c r="H300" i="1" a="1"/>
  <c r="H300" i="1" s="1"/>
  <c r="H301" i="1" a="1"/>
  <c r="H301" i="1" s="1"/>
  <c r="H302" i="1" a="1"/>
  <c r="H302" i="1" s="1"/>
  <c r="H303" i="1" a="1"/>
  <c r="H303" i="1" s="1"/>
  <c r="H304" i="1" a="1"/>
  <c r="H304" i="1" s="1"/>
  <c r="H305" i="1" a="1"/>
  <c r="H305" i="1" s="1"/>
  <c r="H306" i="1" a="1"/>
  <c r="H306" i="1"/>
  <c r="H307" i="1" a="1"/>
  <c r="H307" i="1" s="1"/>
  <c r="H308" i="1" a="1"/>
  <c r="H308" i="1"/>
  <c r="H309" i="1" a="1"/>
  <c r="H309" i="1" s="1"/>
  <c r="H310" i="1" a="1"/>
  <c r="H310" i="1" s="1"/>
  <c r="H311" i="1" a="1"/>
  <c r="H311" i="1" s="1"/>
  <c r="H312" i="1" a="1"/>
  <c r="H312" i="1" s="1"/>
  <c r="H313" i="1" a="1"/>
  <c r="H313" i="1" s="1"/>
  <c r="H314" i="1" a="1"/>
  <c r="H314" i="1" s="1"/>
  <c r="H315" i="1" a="1"/>
  <c r="H315" i="1" s="1"/>
  <c r="H316" i="1" a="1"/>
  <c r="H316" i="1" s="1"/>
  <c r="H317" i="1" a="1"/>
  <c r="H317" i="1" s="1"/>
  <c r="H318" i="1" a="1"/>
  <c r="H318" i="1" s="1"/>
  <c r="H319" i="1" a="1"/>
  <c r="H319" i="1" s="1"/>
  <c r="H320" i="1" a="1"/>
  <c r="H320" i="1" s="1"/>
  <c r="H321" i="1" a="1"/>
  <c r="H321" i="1" s="1"/>
  <c r="H322" i="1" a="1"/>
  <c r="H322" i="1"/>
  <c r="H323" i="1" a="1"/>
  <c r="H323" i="1" s="1"/>
  <c r="H324" i="1" a="1"/>
  <c r="H324" i="1"/>
  <c r="H325" i="1" a="1"/>
  <c r="H325" i="1" s="1"/>
  <c r="H326" i="1" a="1"/>
  <c r="H326" i="1" s="1"/>
  <c r="H327" i="1" a="1"/>
  <c r="H327" i="1" s="1"/>
  <c r="H328" i="1" a="1"/>
  <c r="H328" i="1" s="1"/>
  <c r="H329" i="1" a="1"/>
  <c r="H329" i="1" s="1"/>
  <c r="H330" i="1" a="1"/>
  <c r="H330" i="1" s="1"/>
  <c r="H331" i="1" a="1"/>
  <c r="H331" i="1" s="1"/>
  <c r="H332" i="1" a="1"/>
  <c r="H332" i="1" s="1"/>
  <c r="H333" i="1" a="1"/>
  <c r="H333" i="1" s="1"/>
  <c r="H334" i="1" a="1"/>
  <c r="H334" i="1" s="1"/>
  <c r="H335" i="1" a="1"/>
  <c r="H335" i="1" s="1"/>
  <c r="H336" i="1" a="1"/>
  <c r="H336" i="1" s="1"/>
  <c r="H337" i="1" a="1"/>
  <c r="H337" i="1" s="1"/>
  <c r="H338" i="1" a="1"/>
  <c r="H338" i="1"/>
  <c r="H339" i="1" a="1"/>
  <c r="H339" i="1" s="1"/>
  <c r="H340" i="1" a="1"/>
  <c r="H340" i="1"/>
  <c r="H341" i="1" a="1"/>
  <c r="H341" i="1" s="1"/>
  <c r="H342" i="1" a="1"/>
  <c r="H342" i="1" s="1"/>
  <c r="H343" i="1" a="1"/>
  <c r="H343" i="1" s="1"/>
  <c r="H344" i="1" a="1"/>
  <c r="H344" i="1" s="1"/>
  <c r="H345" i="1" a="1"/>
  <c r="H345" i="1" s="1"/>
  <c r="H346" i="1" a="1"/>
  <c r="H346" i="1" s="1"/>
  <c r="H347" i="1" a="1"/>
  <c r="H347" i="1" s="1"/>
  <c r="H348" i="1" a="1"/>
  <c r="H348" i="1" s="1"/>
  <c r="H349" i="1" a="1"/>
  <c r="H349" i="1" s="1"/>
  <c r="H350" i="1" a="1"/>
  <c r="H350" i="1" s="1"/>
  <c r="H351" i="1" a="1"/>
  <c r="H351" i="1" s="1"/>
  <c r="H352" i="1" a="1"/>
  <c r="H352" i="1" s="1"/>
  <c r="H353" i="1" a="1"/>
  <c r="H353" i="1" s="1"/>
  <c r="H354" i="1" a="1"/>
  <c r="H354" i="1"/>
  <c r="H355" i="1" a="1"/>
  <c r="H355" i="1" s="1"/>
  <c r="H356" i="1" a="1"/>
  <c r="H356" i="1" s="1"/>
  <c r="H357" i="1" a="1"/>
  <c r="H357" i="1" s="1"/>
  <c r="H358" i="1" a="1"/>
  <c r="H358" i="1" s="1"/>
  <c r="H359" i="1" a="1"/>
  <c r="H359" i="1" s="1"/>
  <c r="H360" i="1" a="1"/>
  <c r="H360" i="1" s="1"/>
  <c r="H361" i="1" a="1"/>
  <c r="H361" i="1" s="1"/>
  <c r="H362" i="1" a="1"/>
  <c r="H362" i="1" s="1"/>
  <c r="H363" i="1" a="1"/>
  <c r="H363" i="1" s="1"/>
  <c r="H364" i="1" a="1"/>
  <c r="H364" i="1" s="1"/>
  <c r="H365" i="1" a="1"/>
  <c r="H365" i="1" s="1"/>
  <c r="H366" i="1" a="1"/>
  <c r="H366" i="1" s="1"/>
  <c r="H367" i="1" a="1"/>
  <c r="H367" i="1" s="1"/>
  <c r="H368" i="1" a="1"/>
  <c r="H368" i="1" s="1"/>
  <c r="H369" i="1" a="1"/>
  <c r="H369" i="1" s="1"/>
  <c r="H370" i="1" a="1"/>
  <c r="H370" i="1"/>
  <c r="H371" i="1" a="1"/>
  <c r="H371" i="1" s="1"/>
  <c r="H372" i="1" a="1"/>
  <c r="H372" i="1" s="1"/>
  <c r="H373" i="1" a="1"/>
  <c r="H373" i="1" s="1"/>
  <c r="H374" i="1" a="1"/>
  <c r="H374" i="1" s="1"/>
  <c r="H375" i="1" a="1"/>
  <c r="H375" i="1" s="1"/>
  <c r="H376" i="1" a="1"/>
  <c r="H376" i="1" s="1"/>
  <c r="H377" i="1" a="1"/>
  <c r="H377" i="1" s="1"/>
  <c r="H378" i="1" a="1"/>
  <c r="H378" i="1" s="1"/>
  <c r="H379" i="1" a="1"/>
  <c r="H379" i="1" s="1"/>
  <c r="H380" i="1" a="1"/>
  <c r="H380" i="1" s="1"/>
  <c r="H381" i="1" a="1"/>
  <c r="H381" i="1" s="1"/>
  <c r="H382" i="1" a="1"/>
  <c r="H382" i="1" s="1"/>
  <c r="H383" i="1" a="1"/>
  <c r="H383" i="1" s="1"/>
  <c r="H384" i="1" a="1"/>
  <c r="H384" i="1" s="1"/>
  <c r="H385" i="1" a="1"/>
  <c r="H385" i="1" s="1"/>
  <c r="H386" i="1" a="1"/>
  <c r="H386" i="1"/>
  <c r="H387" i="1" a="1"/>
  <c r="H387" i="1" s="1"/>
  <c r="H388" i="1" a="1"/>
  <c r="H388" i="1" s="1"/>
  <c r="H389" i="1" a="1"/>
  <c r="H389" i="1" s="1"/>
  <c r="H390" i="1" a="1"/>
  <c r="H390" i="1" s="1"/>
  <c r="H391" i="1" a="1"/>
  <c r="H391" i="1" s="1"/>
  <c r="H392" i="1" a="1"/>
  <c r="H392" i="1" s="1"/>
  <c r="H393" i="1" a="1"/>
  <c r="H393" i="1" s="1"/>
  <c r="H394" i="1" a="1"/>
  <c r="H394" i="1" s="1"/>
  <c r="H395" i="1" a="1"/>
  <c r="H395" i="1" s="1"/>
  <c r="H396" i="1" a="1"/>
  <c r="H396" i="1" s="1"/>
  <c r="H397" i="1" a="1"/>
  <c r="H397" i="1" s="1"/>
  <c r="H398" i="1" a="1"/>
  <c r="H398" i="1" s="1"/>
  <c r="H399" i="1" a="1"/>
  <c r="H399" i="1" s="1"/>
  <c r="H400" i="1" a="1"/>
  <c r="H400" i="1" s="1"/>
  <c r="H401" i="1" a="1"/>
  <c r="H401" i="1" s="1"/>
  <c r="H402" i="1" a="1"/>
  <c r="H402" i="1"/>
  <c r="H403" i="1" a="1"/>
  <c r="H403" i="1" s="1"/>
  <c r="H404" i="1" a="1"/>
  <c r="H404" i="1" s="1"/>
  <c r="H405" i="1" a="1"/>
  <c r="H405" i="1" s="1"/>
  <c r="H406" i="1" a="1"/>
  <c r="H406" i="1" s="1"/>
  <c r="H407" i="1" a="1"/>
  <c r="H407" i="1" s="1"/>
  <c r="H408" i="1" a="1"/>
  <c r="H408" i="1" s="1"/>
  <c r="H409" i="1" a="1"/>
  <c r="H409" i="1" s="1"/>
  <c r="H410" i="1" a="1"/>
  <c r="H410" i="1" s="1"/>
  <c r="H411" i="1" a="1"/>
  <c r="H411" i="1" s="1"/>
  <c r="H412" i="1" a="1"/>
  <c r="H412" i="1" s="1"/>
  <c r="H413" i="1" a="1"/>
  <c r="H413" i="1" s="1"/>
  <c r="H414" i="1" a="1"/>
  <c r="H414" i="1" s="1"/>
  <c r="H415" i="1" a="1"/>
  <c r="H415" i="1" s="1"/>
  <c r="H416" i="1" a="1"/>
  <c r="H416" i="1" s="1"/>
  <c r="H417" i="1" a="1"/>
  <c r="H417" i="1" s="1"/>
  <c r="H418" i="1" a="1"/>
  <c r="H418" i="1"/>
  <c r="H419" i="1" a="1"/>
  <c r="H419" i="1" s="1"/>
  <c r="H420" i="1" a="1"/>
  <c r="H420" i="1" s="1"/>
  <c r="H421" i="1" a="1"/>
  <c r="H421" i="1" s="1"/>
  <c r="H422" i="1" a="1"/>
  <c r="H422" i="1" s="1"/>
  <c r="H423" i="1" a="1"/>
  <c r="H423" i="1" s="1"/>
  <c r="H424" i="1" a="1"/>
  <c r="H424" i="1" s="1"/>
  <c r="H425" i="1" a="1"/>
  <c r="H425" i="1" s="1"/>
  <c r="H426" i="1" a="1"/>
  <c r="H426" i="1" s="1"/>
  <c r="H427" i="1" a="1"/>
  <c r="H427" i="1" s="1"/>
  <c r="H428" i="1" a="1"/>
  <c r="H428" i="1" s="1"/>
  <c r="H429" i="1" a="1"/>
  <c r="H429" i="1" s="1"/>
  <c r="H430" i="1" a="1"/>
  <c r="H430" i="1" s="1"/>
  <c r="H431" i="1" a="1"/>
  <c r="H431" i="1" s="1"/>
  <c r="H432" i="1" a="1"/>
  <c r="H432" i="1" s="1"/>
  <c r="H433" i="1" a="1"/>
  <c r="H433" i="1" s="1"/>
  <c r="H434" i="1" a="1"/>
  <c r="H434" i="1"/>
  <c r="H435" i="1" a="1"/>
  <c r="H435" i="1" s="1"/>
  <c r="H436" i="1" a="1"/>
  <c r="H436" i="1" s="1"/>
  <c r="H437" i="1" a="1"/>
  <c r="H437" i="1" s="1"/>
  <c r="H438" i="1" a="1"/>
  <c r="H438" i="1" s="1"/>
  <c r="H439" i="1" a="1"/>
  <c r="H439" i="1" s="1"/>
  <c r="H440" i="1" a="1"/>
  <c r="H440" i="1" s="1"/>
  <c r="H441" i="1" a="1"/>
  <c r="H441" i="1" s="1"/>
  <c r="H442" i="1" a="1"/>
  <c r="H442" i="1" s="1"/>
  <c r="H443" i="1" a="1"/>
  <c r="H443" i="1" s="1"/>
  <c r="H444" i="1" a="1"/>
  <c r="H444" i="1" s="1"/>
  <c r="H445" i="1" a="1"/>
  <c r="H445" i="1" s="1"/>
  <c r="H446" i="1" a="1"/>
  <c r="H446" i="1" s="1"/>
  <c r="H447" i="1" a="1"/>
  <c r="H447" i="1" s="1"/>
  <c r="H448" i="1" a="1"/>
  <c r="H448" i="1" s="1"/>
  <c r="H449" i="1" a="1"/>
  <c r="H449" i="1" s="1"/>
  <c r="H450" i="1" a="1"/>
  <c r="H450" i="1"/>
  <c r="H451" i="1" a="1"/>
  <c r="H451" i="1" s="1"/>
  <c r="H452" i="1" a="1"/>
  <c r="H452" i="1" s="1"/>
  <c r="H453" i="1" a="1"/>
  <c r="H453" i="1" s="1"/>
  <c r="H454" i="1" a="1"/>
  <c r="H454" i="1" s="1"/>
  <c r="H455" i="1" a="1"/>
  <c r="H455" i="1" s="1"/>
  <c r="H456" i="1" a="1"/>
  <c r="H456" i="1" s="1"/>
  <c r="H457" i="1" a="1"/>
  <c r="H457" i="1" s="1"/>
  <c r="H458" i="1" a="1"/>
  <c r="H458" i="1" s="1"/>
  <c r="H459" i="1" a="1"/>
  <c r="H459" i="1" s="1"/>
  <c r="H460" i="1" a="1"/>
  <c r="H460" i="1" s="1"/>
  <c r="H461" i="1" a="1"/>
  <c r="H461" i="1" s="1"/>
  <c r="H462" i="1" a="1"/>
  <c r="H462" i="1" s="1"/>
  <c r="H463" i="1" a="1"/>
  <c r="H463" i="1" s="1"/>
  <c r="H464" i="1" a="1"/>
  <c r="H464" i="1" s="1"/>
  <c r="H465" i="1" a="1"/>
  <c r="H465" i="1" s="1"/>
  <c r="H466" i="1" a="1"/>
  <c r="H466" i="1"/>
  <c r="H467" i="1" a="1"/>
  <c r="H467" i="1" s="1"/>
  <c r="H468" i="1" a="1"/>
  <c r="H468" i="1" s="1"/>
  <c r="H469" i="1" a="1"/>
  <c r="H469" i="1" s="1"/>
  <c r="H470" i="1" a="1"/>
  <c r="H470" i="1" s="1"/>
  <c r="H471" i="1" a="1"/>
  <c r="H471" i="1" s="1"/>
  <c r="H472" i="1" a="1"/>
  <c r="H472" i="1" s="1"/>
  <c r="H473" i="1" a="1"/>
  <c r="H473" i="1" s="1"/>
  <c r="H474" i="1" a="1"/>
  <c r="H474" i="1" s="1"/>
  <c r="H475" i="1" a="1"/>
  <c r="H475" i="1" s="1"/>
  <c r="H476" i="1" a="1"/>
  <c r="H476" i="1" s="1"/>
  <c r="H477" i="1" a="1"/>
  <c r="H477" i="1" s="1"/>
  <c r="H478" i="1" a="1"/>
  <c r="H478" i="1" s="1"/>
  <c r="H479" i="1" a="1"/>
  <c r="H479" i="1" s="1"/>
  <c r="H480" i="1" a="1"/>
  <c r="H480" i="1" s="1"/>
  <c r="H481" i="1" a="1"/>
  <c r="H481" i="1" s="1"/>
  <c r="H482" i="1" a="1"/>
  <c r="H482" i="1"/>
  <c r="H483" i="1" a="1"/>
  <c r="H483" i="1" s="1"/>
  <c r="H484" i="1" a="1"/>
  <c r="H484" i="1" s="1"/>
  <c r="H485" i="1" a="1"/>
  <c r="H485" i="1" s="1"/>
  <c r="H486" i="1" a="1"/>
  <c r="H486" i="1" s="1"/>
  <c r="H487" i="1" a="1"/>
  <c r="H487" i="1" s="1"/>
  <c r="H488" i="1" a="1"/>
  <c r="H488" i="1" s="1"/>
  <c r="H489" i="1" a="1"/>
  <c r="H489" i="1" s="1"/>
  <c r="H490" i="1" a="1"/>
  <c r="H490" i="1" s="1"/>
  <c r="H491" i="1" a="1"/>
  <c r="H491" i="1" s="1"/>
  <c r="H492" i="1" a="1"/>
  <c r="H492" i="1" s="1"/>
  <c r="H493" i="1" a="1"/>
  <c r="H493" i="1" s="1"/>
  <c r="H494" i="1" a="1"/>
  <c r="H494" i="1" s="1"/>
  <c r="H495" i="1" a="1"/>
  <c r="H495" i="1" s="1"/>
  <c r="H496" i="1" a="1"/>
  <c r="H496" i="1" s="1"/>
  <c r="H497" i="1" a="1"/>
  <c r="H497" i="1" s="1"/>
  <c r="H498" i="1" a="1"/>
  <c r="H498" i="1"/>
  <c r="H499" i="1" a="1"/>
  <c r="H499" i="1" s="1"/>
  <c r="H500" i="1" a="1"/>
  <c r="H500" i="1" s="1"/>
  <c r="H501" i="1" a="1"/>
  <c r="H501" i="1" s="1"/>
  <c r="H502" i="1" a="1"/>
  <c r="H502" i="1" s="1"/>
  <c r="H503" i="1" a="1"/>
  <c r="H503" i="1" s="1"/>
  <c r="H504" i="1" a="1"/>
  <c r="H504" i="1" s="1"/>
  <c r="H505" i="1" a="1"/>
  <c r="H505" i="1" s="1"/>
  <c r="H506" i="1" a="1"/>
  <c r="H506" i="1" s="1"/>
  <c r="H507" i="1" a="1"/>
  <c r="H507" i="1" s="1"/>
  <c r="H508" i="1" a="1"/>
  <c r="H508" i="1" s="1"/>
  <c r="H509" i="1" a="1"/>
  <c r="H509" i="1" s="1"/>
  <c r="H510" i="1" a="1"/>
  <c r="H510" i="1" s="1"/>
  <c r="H511" i="1" a="1"/>
  <c r="H511" i="1" s="1"/>
  <c r="H512" i="1" a="1"/>
  <c r="H512" i="1" s="1"/>
  <c r="H513" i="1" a="1"/>
  <c r="H513" i="1" s="1"/>
  <c r="H514" i="1" a="1"/>
  <c r="H514" i="1"/>
  <c r="H515" i="1" a="1"/>
  <c r="H515" i="1" s="1"/>
  <c r="H516" i="1" a="1"/>
  <c r="H516" i="1" s="1"/>
  <c r="H517" i="1" a="1"/>
  <c r="H517" i="1" s="1"/>
  <c r="H518" i="1" a="1"/>
  <c r="H518" i="1" s="1"/>
  <c r="H519" i="1" a="1"/>
  <c r="H519" i="1" s="1"/>
  <c r="H520" i="1" a="1"/>
  <c r="H520" i="1" s="1"/>
  <c r="H521" i="1" a="1"/>
  <c r="H521" i="1" s="1"/>
  <c r="H522" i="1" a="1"/>
  <c r="H522" i="1" s="1"/>
  <c r="H523" i="1" a="1"/>
  <c r="H523" i="1" s="1"/>
  <c r="H524" i="1" a="1"/>
  <c r="H524" i="1" s="1"/>
  <c r="H525" i="1" a="1"/>
  <c r="H525" i="1" s="1"/>
  <c r="H526" i="1" a="1"/>
  <c r="H526" i="1" s="1"/>
  <c r="H527" i="1" a="1"/>
  <c r="H527" i="1" s="1"/>
  <c r="H528" i="1" a="1"/>
  <c r="H528" i="1" s="1"/>
  <c r="H529" i="1" a="1"/>
  <c r="H529" i="1" s="1"/>
  <c r="H530" i="1" a="1"/>
  <c r="H530" i="1"/>
  <c r="H531" i="1" a="1"/>
  <c r="H531" i="1" s="1"/>
  <c r="H532" i="1" a="1"/>
  <c r="H532" i="1" s="1"/>
  <c r="H533" i="1" a="1"/>
  <c r="H533" i="1" s="1"/>
  <c r="H534" i="1" a="1"/>
  <c r="H534" i="1" s="1"/>
  <c r="H535" i="1" a="1"/>
  <c r="H535" i="1" s="1"/>
  <c r="H536" i="1" a="1"/>
  <c r="H536" i="1" s="1"/>
  <c r="H537" i="1" a="1"/>
  <c r="H537" i="1" s="1"/>
  <c r="H538" i="1" a="1"/>
  <c r="H538" i="1" s="1"/>
  <c r="H539" i="1" a="1"/>
  <c r="H539" i="1" s="1"/>
  <c r="H540" i="1" a="1"/>
  <c r="H540" i="1" s="1"/>
  <c r="H541" i="1" a="1"/>
  <c r="H541" i="1" s="1"/>
  <c r="H542" i="1" a="1"/>
  <c r="H542" i="1" s="1"/>
  <c r="H543" i="1" a="1"/>
  <c r="H543" i="1" s="1"/>
  <c r="H544" i="1" a="1"/>
  <c r="H544" i="1" s="1"/>
  <c r="H545" i="1" a="1"/>
  <c r="H545" i="1" s="1"/>
  <c r="H546" i="1" a="1"/>
  <c r="H546" i="1"/>
  <c r="H547" i="1" a="1"/>
  <c r="H547" i="1" s="1"/>
  <c r="H548" i="1" a="1"/>
  <c r="H548" i="1" s="1"/>
  <c r="H549" i="1" a="1"/>
  <c r="H549" i="1" s="1"/>
  <c r="H550" i="1" a="1"/>
  <c r="H550" i="1" s="1"/>
  <c r="H551" i="1" a="1"/>
  <c r="H551" i="1" s="1"/>
  <c r="H552" i="1" a="1"/>
  <c r="H552" i="1" s="1"/>
  <c r="H553" i="1" a="1"/>
  <c r="H553" i="1" s="1"/>
  <c r="H554" i="1" a="1"/>
  <c r="H554" i="1" s="1"/>
  <c r="H555" i="1" a="1"/>
  <c r="H555" i="1" s="1"/>
  <c r="H556" i="1" a="1"/>
  <c r="H556" i="1" s="1"/>
  <c r="H557" i="1" a="1"/>
  <c r="H557" i="1" s="1"/>
  <c r="H558" i="1" a="1"/>
  <c r="H558" i="1" s="1"/>
  <c r="H559" i="1" a="1"/>
  <c r="H559" i="1" s="1"/>
  <c r="H560" i="1" a="1"/>
  <c r="H560" i="1" s="1"/>
  <c r="H561" i="1" a="1"/>
  <c r="H561" i="1" s="1"/>
  <c r="H562" i="1" a="1"/>
  <c r="H562" i="1"/>
  <c r="H563" i="1" a="1"/>
  <c r="H563" i="1" s="1"/>
  <c r="H564" i="1" a="1"/>
  <c r="H564" i="1" s="1"/>
  <c r="H565" i="1" a="1"/>
  <c r="H565" i="1" s="1"/>
  <c r="H566" i="1" a="1"/>
  <c r="H566" i="1" s="1"/>
  <c r="H567" i="1" a="1"/>
  <c r="H567" i="1" s="1"/>
  <c r="H568" i="1" a="1"/>
  <c r="H568" i="1" s="1"/>
  <c r="H569" i="1" a="1"/>
  <c r="H569" i="1" s="1"/>
  <c r="H570" i="1" a="1"/>
  <c r="H570" i="1" s="1"/>
  <c r="H571" i="1" a="1"/>
  <c r="H571" i="1" s="1"/>
  <c r="H572" i="1" a="1"/>
  <c r="H572" i="1" s="1"/>
  <c r="H573" i="1" a="1"/>
  <c r="H573" i="1" s="1"/>
  <c r="H574" i="1" a="1"/>
  <c r="H574" i="1" s="1"/>
  <c r="H575" i="1" a="1"/>
  <c r="H575" i="1" s="1"/>
  <c r="H576" i="1" a="1"/>
  <c r="H576" i="1" s="1"/>
  <c r="H577" i="1" a="1"/>
  <c r="H577" i="1" s="1"/>
  <c r="H578" i="1" a="1"/>
  <c r="H578" i="1"/>
  <c r="H579" i="1" a="1"/>
  <c r="H579" i="1" s="1"/>
  <c r="H580" i="1" a="1"/>
  <c r="H580" i="1" s="1"/>
  <c r="H581" i="1" a="1"/>
  <c r="H581" i="1" s="1"/>
  <c r="H582" i="1" a="1"/>
  <c r="H582" i="1" s="1"/>
  <c r="H583" i="1" a="1"/>
  <c r="H583" i="1" s="1"/>
  <c r="H584" i="1" a="1"/>
  <c r="H584" i="1" s="1"/>
  <c r="H585" i="1" a="1"/>
  <c r="H585" i="1" s="1"/>
  <c r="H586" i="1" a="1"/>
  <c r="H586" i="1" s="1"/>
  <c r="H587" i="1" a="1"/>
  <c r="H587" i="1" s="1"/>
  <c r="H588" i="1" a="1"/>
  <c r="H588" i="1" s="1"/>
  <c r="H589" i="1" a="1"/>
  <c r="H589" i="1" s="1"/>
  <c r="H590" i="1" a="1"/>
  <c r="H590" i="1" s="1"/>
  <c r="H591" i="1" a="1"/>
  <c r="H591" i="1" s="1"/>
  <c r="H592" i="1" a="1"/>
  <c r="H592" i="1" s="1"/>
  <c r="H593" i="1" a="1"/>
  <c r="H593" i="1" s="1"/>
  <c r="H594" i="1" a="1"/>
  <c r="H594" i="1"/>
  <c r="H595" i="1" a="1"/>
  <c r="H595" i="1" s="1"/>
  <c r="H596" i="1" a="1"/>
  <c r="H596" i="1" s="1"/>
  <c r="H597" i="1" a="1"/>
  <c r="H597" i="1" s="1"/>
  <c r="H598" i="1" a="1"/>
  <c r="H598" i="1" s="1"/>
  <c r="H599" i="1" a="1"/>
  <c r="H599" i="1" s="1"/>
  <c r="H600" i="1" a="1"/>
  <c r="H600" i="1" s="1"/>
  <c r="H601" i="1" a="1"/>
  <c r="H601" i="1" s="1"/>
  <c r="H602" i="1" a="1"/>
  <c r="H602" i="1" s="1"/>
  <c r="H603" i="1" a="1"/>
  <c r="H603" i="1" s="1"/>
  <c r="H604" i="1" a="1"/>
  <c r="H604" i="1" s="1"/>
  <c r="H605" i="1" a="1"/>
  <c r="H605" i="1" s="1"/>
  <c r="H606" i="1" a="1"/>
  <c r="H606" i="1" s="1"/>
  <c r="H607" i="1" a="1"/>
  <c r="H607" i="1" s="1"/>
  <c r="H608" i="1" a="1"/>
  <c r="H608" i="1" s="1"/>
  <c r="H609" i="1" a="1"/>
  <c r="H609" i="1" s="1"/>
  <c r="H610" i="1" a="1"/>
  <c r="H610" i="1"/>
  <c r="H611" i="1" a="1"/>
  <c r="H611" i="1" s="1"/>
  <c r="H612" i="1" a="1"/>
  <c r="H612" i="1" s="1"/>
  <c r="H613" i="1" a="1"/>
  <c r="H613" i="1" s="1"/>
  <c r="H614" i="1" a="1"/>
  <c r="H614" i="1" s="1"/>
  <c r="H615" i="1" a="1"/>
  <c r="H615" i="1" s="1"/>
  <c r="H616" i="1" a="1"/>
  <c r="H616" i="1" s="1"/>
  <c r="H617" i="1" a="1"/>
  <c r="H617" i="1" s="1"/>
  <c r="H618" i="1" a="1"/>
  <c r="H618" i="1" s="1"/>
  <c r="H619" i="1" a="1"/>
  <c r="H619" i="1" s="1"/>
  <c r="H620" i="1" a="1"/>
  <c r="H620" i="1" s="1"/>
  <c r="H621" i="1" a="1"/>
  <c r="H621" i="1" s="1"/>
  <c r="H622" i="1" a="1"/>
  <c r="H622" i="1" s="1"/>
  <c r="H623" i="1" a="1"/>
  <c r="H623" i="1" s="1"/>
  <c r="H624" i="1" a="1"/>
  <c r="H624" i="1" s="1"/>
  <c r="H625" i="1" a="1"/>
  <c r="H625" i="1" s="1"/>
  <c r="H626" i="1" a="1"/>
  <c r="H626" i="1"/>
  <c r="H627" i="1" a="1"/>
  <c r="H627" i="1" s="1"/>
  <c r="H628" i="1" a="1"/>
  <c r="H628" i="1" s="1"/>
  <c r="H629" i="1" a="1"/>
  <c r="H629" i="1" s="1"/>
  <c r="H630" i="1" a="1"/>
  <c r="H630" i="1" s="1"/>
  <c r="H631" i="1" a="1"/>
  <c r="H631" i="1" s="1"/>
  <c r="H632" i="1" a="1"/>
  <c r="H632" i="1" s="1"/>
  <c r="H633" i="1" a="1"/>
  <c r="H633" i="1" s="1"/>
  <c r="H634" i="1" a="1"/>
  <c r="H634" i="1" s="1"/>
  <c r="H635" i="1" a="1"/>
  <c r="H635" i="1" s="1"/>
  <c r="H636" i="1" a="1"/>
  <c r="H636" i="1" s="1"/>
  <c r="H637" i="1" a="1"/>
  <c r="H637" i="1" s="1"/>
  <c r="H638" i="1" a="1"/>
  <c r="H638" i="1" s="1"/>
  <c r="H639" i="1" a="1"/>
  <c r="H639" i="1" s="1"/>
  <c r="H640" i="1" a="1"/>
  <c r="H640" i="1" s="1"/>
  <c r="H641" i="1" a="1"/>
  <c r="H641" i="1" s="1"/>
  <c r="H642" i="1" a="1"/>
  <c r="H642" i="1"/>
  <c r="H643" i="1" a="1"/>
  <c r="H643" i="1" s="1"/>
  <c r="H644" i="1" a="1"/>
  <c r="H644" i="1" s="1"/>
  <c r="H645" i="1" a="1"/>
  <c r="H645" i="1" s="1"/>
  <c r="H646" i="1" a="1"/>
  <c r="H646" i="1" s="1"/>
  <c r="H647" i="1" a="1"/>
  <c r="H647" i="1" s="1"/>
  <c r="H648" i="1" a="1"/>
  <c r="H648" i="1" s="1"/>
  <c r="H649" i="1" a="1"/>
  <c r="H649" i="1" s="1"/>
  <c r="H650" i="1" a="1"/>
  <c r="H650" i="1" s="1"/>
  <c r="H651" i="1" a="1"/>
  <c r="H651" i="1" s="1"/>
  <c r="H652" i="1" a="1"/>
  <c r="H652" i="1" s="1"/>
  <c r="H653" i="1" a="1"/>
  <c r="H653" i="1" s="1"/>
  <c r="H654" i="1" a="1"/>
  <c r="H654" i="1" s="1"/>
  <c r="H655" i="1" a="1"/>
  <c r="H655" i="1" s="1"/>
  <c r="H656" i="1" a="1"/>
  <c r="H656" i="1" s="1"/>
  <c r="H657" i="1" a="1"/>
  <c r="H657" i="1" s="1"/>
  <c r="H658" i="1" a="1"/>
  <c r="H658" i="1"/>
  <c r="H659" i="1" a="1"/>
  <c r="H659" i="1" s="1"/>
  <c r="H660" i="1" a="1"/>
  <c r="H660" i="1" s="1"/>
  <c r="H661" i="1" a="1"/>
  <c r="H661" i="1" s="1"/>
  <c r="H662" i="1" a="1"/>
  <c r="H662" i="1" s="1"/>
  <c r="H663" i="1" a="1"/>
  <c r="H663" i="1" s="1"/>
  <c r="H664" i="1" a="1"/>
  <c r="H664" i="1" s="1"/>
  <c r="H665" i="1" a="1"/>
  <c r="H665" i="1" s="1"/>
  <c r="H666" i="1" a="1"/>
  <c r="H666" i="1" s="1"/>
  <c r="H667" i="1" a="1"/>
  <c r="H667" i="1" s="1"/>
  <c r="H668" i="1" a="1"/>
  <c r="H668" i="1" s="1"/>
  <c r="H669" i="1" a="1"/>
  <c r="H669" i="1" s="1"/>
  <c r="H670" i="1" a="1"/>
  <c r="H670" i="1" s="1"/>
  <c r="H671" i="1" a="1"/>
  <c r="H671" i="1" s="1"/>
  <c r="H672" i="1" a="1"/>
  <c r="H672" i="1" s="1"/>
  <c r="H673" i="1" a="1"/>
  <c r="H673" i="1" s="1"/>
  <c r="H674" i="1" a="1"/>
  <c r="H674" i="1"/>
  <c r="H675" i="1" a="1"/>
  <c r="H675" i="1" s="1"/>
  <c r="H676" i="1" a="1"/>
  <c r="H676" i="1" s="1"/>
  <c r="H677" i="1" a="1"/>
  <c r="H677" i="1" s="1"/>
  <c r="H678" i="1" a="1"/>
  <c r="H678" i="1" s="1"/>
  <c r="H679" i="1" a="1"/>
  <c r="H679" i="1" s="1"/>
  <c r="H680" i="1" a="1"/>
  <c r="H680" i="1" s="1"/>
  <c r="H681" i="1" a="1"/>
  <c r="H681" i="1" s="1"/>
  <c r="H682" i="1" a="1"/>
  <c r="H682" i="1" s="1"/>
  <c r="H683" i="1" a="1"/>
  <c r="H683" i="1" s="1"/>
  <c r="H684" i="1" a="1"/>
  <c r="H684" i="1" s="1"/>
  <c r="H685" i="1" a="1"/>
  <c r="H685" i="1" s="1"/>
  <c r="H686" i="1" a="1"/>
  <c r="H686" i="1" s="1"/>
  <c r="H687" i="1" a="1"/>
  <c r="H687" i="1" s="1"/>
  <c r="H688" i="1" a="1"/>
  <c r="H688" i="1" s="1"/>
  <c r="H689" i="1" a="1"/>
  <c r="H689" i="1" s="1"/>
  <c r="H690" i="1" a="1"/>
  <c r="H690" i="1"/>
  <c r="H691" i="1" a="1"/>
  <c r="H691" i="1" s="1"/>
  <c r="H692" i="1" a="1"/>
  <c r="H692" i="1" s="1"/>
  <c r="H693" i="1" a="1"/>
  <c r="H693" i="1" s="1"/>
  <c r="H694" i="1" a="1"/>
  <c r="H694" i="1" s="1"/>
  <c r="H695" i="1" a="1"/>
  <c r="H695" i="1" s="1"/>
  <c r="H696" i="1" a="1"/>
  <c r="H696" i="1" s="1"/>
  <c r="H697" i="1" a="1"/>
  <c r="H697" i="1" s="1"/>
  <c r="H698" i="1" a="1"/>
  <c r="H698" i="1" s="1"/>
  <c r="H699" i="1" a="1"/>
  <c r="H699" i="1" s="1"/>
  <c r="H700" i="1" a="1"/>
  <c r="H700" i="1" s="1"/>
  <c r="H701" i="1" a="1"/>
  <c r="H701" i="1" s="1"/>
  <c r="H702" i="1" a="1"/>
  <c r="H702" i="1" s="1"/>
  <c r="H703" i="1" a="1"/>
  <c r="H703" i="1" s="1"/>
  <c r="H704" i="1" a="1"/>
  <c r="H704" i="1" s="1"/>
  <c r="H705" i="1" a="1"/>
  <c r="H705" i="1" s="1"/>
  <c r="H706" i="1" a="1"/>
  <c r="H706" i="1"/>
  <c r="H707" i="1" a="1"/>
  <c r="H707" i="1" s="1"/>
  <c r="H708" i="1" a="1"/>
  <c r="H708" i="1" s="1"/>
  <c r="H709" i="1" a="1"/>
  <c r="H709" i="1" s="1"/>
  <c r="H710" i="1" a="1"/>
  <c r="H710" i="1" s="1"/>
  <c r="H711" i="1" a="1"/>
  <c r="H711" i="1" s="1"/>
  <c r="H712" i="1" a="1"/>
  <c r="H712" i="1" s="1"/>
  <c r="H713" i="1" a="1"/>
  <c r="H713" i="1" s="1"/>
  <c r="H714" i="1" a="1"/>
  <c r="H714" i="1" s="1"/>
  <c r="H715" i="1" a="1"/>
  <c r="H715" i="1" s="1"/>
  <c r="H716" i="1" a="1"/>
  <c r="H716" i="1" s="1"/>
  <c r="H717" i="1" a="1"/>
  <c r="H717" i="1" s="1"/>
  <c r="H718" i="1" a="1"/>
  <c r="H718" i="1" s="1"/>
  <c r="H719" i="1" a="1"/>
  <c r="H719" i="1" s="1"/>
  <c r="H720" i="1" a="1"/>
  <c r="H720" i="1" s="1"/>
  <c r="H721" i="1" a="1"/>
  <c r="H721" i="1" s="1"/>
  <c r="H722" i="1" a="1"/>
  <c r="H722" i="1"/>
  <c r="H723" i="1" a="1"/>
  <c r="H723" i="1" s="1"/>
  <c r="H724" i="1" a="1"/>
  <c r="H724" i="1" s="1"/>
  <c r="H725" i="1" a="1"/>
  <c r="H725" i="1" s="1"/>
  <c r="H726" i="1" a="1"/>
  <c r="H726" i="1" s="1"/>
  <c r="H727" i="1" a="1"/>
  <c r="H727" i="1" s="1"/>
  <c r="H728" i="1" a="1"/>
  <c r="H728" i="1" s="1"/>
  <c r="H729" i="1" a="1"/>
  <c r="H729" i="1" s="1"/>
  <c r="H730" i="1" a="1"/>
  <c r="H730" i="1" s="1"/>
  <c r="H731" i="1" a="1"/>
  <c r="H731" i="1" s="1"/>
  <c r="H732" i="1" a="1"/>
  <c r="H732" i="1" s="1"/>
  <c r="H733" i="1" a="1"/>
  <c r="H733" i="1" s="1"/>
  <c r="H734" i="1" a="1"/>
  <c r="H734" i="1" s="1"/>
  <c r="H735" i="1" a="1"/>
  <c r="H735" i="1" s="1"/>
  <c r="H736" i="1" a="1"/>
  <c r="H736" i="1" s="1"/>
  <c r="H737" i="1" a="1"/>
  <c r="H737" i="1" s="1"/>
  <c r="H738" i="1" a="1"/>
  <c r="H738" i="1"/>
  <c r="H739" i="1" a="1"/>
  <c r="H739" i="1" s="1"/>
  <c r="H740" i="1" a="1"/>
  <c r="H740" i="1" s="1"/>
  <c r="H741" i="1" a="1"/>
  <c r="H741" i="1" s="1"/>
  <c r="H742" i="1" a="1"/>
  <c r="H742" i="1" s="1"/>
  <c r="H743" i="1" a="1"/>
  <c r="H743" i="1" s="1"/>
  <c r="H744" i="1" a="1"/>
  <c r="H744" i="1" s="1"/>
  <c r="H745" i="1" a="1"/>
  <c r="H745" i="1" s="1"/>
  <c r="H746" i="1" a="1"/>
  <c r="H746" i="1" s="1"/>
  <c r="H747" i="1" a="1"/>
  <c r="H747" i="1" s="1"/>
  <c r="H748" i="1" a="1"/>
  <c r="H748" i="1" s="1"/>
  <c r="H749" i="1" a="1"/>
  <c r="H749" i="1" s="1"/>
  <c r="H750" i="1" a="1"/>
  <c r="H750" i="1" s="1"/>
  <c r="H751" i="1" a="1"/>
  <c r="H751" i="1" s="1"/>
  <c r="H752" i="1" a="1"/>
  <c r="H752" i="1" s="1"/>
  <c r="H753" i="1" a="1"/>
  <c r="H753" i="1" s="1"/>
  <c r="H754" i="1" a="1"/>
  <c r="H754" i="1"/>
  <c r="H755" i="1" a="1"/>
  <c r="H755" i="1" s="1"/>
  <c r="H756" i="1" a="1"/>
  <c r="H756" i="1" s="1"/>
  <c r="H757" i="1" a="1"/>
  <c r="H757" i="1" s="1"/>
  <c r="H758" i="1" a="1"/>
  <c r="H758" i="1" s="1"/>
  <c r="H759" i="1" a="1"/>
  <c r="H759" i="1" s="1"/>
  <c r="H760" i="1" a="1"/>
  <c r="H760" i="1" s="1"/>
  <c r="H761" i="1" a="1"/>
  <c r="H761" i="1" s="1"/>
  <c r="H762" i="1" a="1"/>
  <c r="H762" i="1" s="1"/>
  <c r="H763" i="1" a="1"/>
  <c r="H763" i="1" s="1"/>
  <c r="H764" i="1" a="1"/>
  <c r="H764" i="1" s="1"/>
  <c r="H765" i="1" a="1"/>
  <c r="H765" i="1" s="1"/>
  <c r="H766" i="1" a="1"/>
  <c r="H766" i="1" s="1"/>
  <c r="H767" i="1" a="1"/>
  <c r="H767" i="1" s="1"/>
  <c r="H768" i="1" a="1"/>
  <c r="H768" i="1" s="1"/>
  <c r="H769" i="1" a="1"/>
  <c r="H769" i="1" s="1"/>
  <c r="H770" i="1" a="1"/>
  <c r="H770" i="1"/>
  <c r="H771" i="1" a="1"/>
  <c r="H771" i="1" s="1"/>
  <c r="H772" i="1" a="1"/>
  <c r="H772" i="1" s="1"/>
  <c r="H773" i="1" a="1"/>
  <c r="H773" i="1" s="1"/>
  <c r="H774" i="1" a="1"/>
  <c r="H774" i="1" s="1"/>
  <c r="H775" i="1" a="1"/>
  <c r="H775" i="1" s="1"/>
  <c r="H776" i="1" a="1"/>
  <c r="H776" i="1" s="1"/>
  <c r="H777" i="1" a="1"/>
  <c r="H777" i="1" s="1"/>
  <c r="H778" i="1" a="1"/>
  <c r="H778" i="1" s="1"/>
  <c r="H779" i="1" a="1"/>
  <c r="H779" i="1" s="1"/>
  <c r="H780" i="1" a="1"/>
  <c r="H780" i="1" s="1"/>
  <c r="H781" i="1" a="1"/>
  <c r="H781" i="1" s="1"/>
  <c r="H782" i="1" a="1"/>
  <c r="H782" i="1" s="1"/>
  <c r="H783" i="1" a="1"/>
  <c r="H783" i="1" s="1"/>
  <c r="H784" i="1" a="1"/>
  <c r="H784" i="1" s="1"/>
  <c r="H785" i="1" a="1"/>
  <c r="H785" i="1" s="1"/>
  <c r="H786" i="1" a="1"/>
  <c r="H786" i="1"/>
  <c r="H787" i="1" a="1"/>
  <c r="H787" i="1" s="1"/>
  <c r="H788" i="1" a="1"/>
  <c r="H788" i="1" s="1"/>
  <c r="H789" i="1" a="1"/>
  <c r="H789" i="1" s="1"/>
  <c r="H790" i="1" a="1"/>
  <c r="H790" i="1" s="1"/>
  <c r="H791" i="1" a="1"/>
  <c r="H791" i="1" s="1"/>
  <c r="H792" i="1" a="1"/>
  <c r="H792" i="1" s="1"/>
  <c r="H793" i="1" a="1"/>
  <c r="H793" i="1" s="1"/>
  <c r="H794" i="1" a="1"/>
  <c r="H794" i="1" s="1"/>
  <c r="H795" i="1" a="1"/>
  <c r="H795" i="1" s="1"/>
  <c r="H796" i="1" a="1"/>
  <c r="H796" i="1" s="1"/>
  <c r="H797" i="1" a="1"/>
  <c r="H797" i="1" s="1"/>
  <c r="H798" i="1" a="1"/>
  <c r="H798" i="1" s="1"/>
  <c r="H799" i="1" a="1"/>
  <c r="H799" i="1" s="1"/>
  <c r="H800" i="1" a="1"/>
  <c r="H800" i="1" s="1"/>
  <c r="H801" i="1" a="1"/>
  <c r="H801" i="1" s="1"/>
  <c r="H802" i="1" a="1"/>
  <c r="H802" i="1"/>
  <c r="H803" i="1" a="1"/>
  <c r="H803" i="1" s="1"/>
  <c r="H804" i="1" a="1"/>
  <c r="H804" i="1" s="1"/>
  <c r="H805" i="1" a="1"/>
  <c r="H805" i="1" s="1"/>
  <c r="H806" i="1" a="1"/>
  <c r="H806" i="1" s="1"/>
  <c r="H807" i="1" a="1"/>
  <c r="H807" i="1" s="1"/>
  <c r="H808" i="1" a="1"/>
  <c r="H808" i="1" s="1"/>
  <c r="H809" i="1" a="1"/>
  <c r="H809" i="1" s="1"/>
  <c r="H810" i="1" a="1"/>
  <c r="H810" i="1" s="1"/>
  <c r="H811" i="1" a="1"/>
  <c r="H811" i="1" s="1"/>
  <c r="H812" i="1" a="1"/>
  <c r="H812" i="1" s="1"/>
  <c r="H813" i="1" a="1"/>
  <c r="H813" i="1" s="1"/>
  <c r="H814" i="1" a="1"/>
  <c r="H814" i="1" s="1"/>
  <c r="H815" i="1" a="1"/>
  <c r="H815" i="1" s="1"/>
  <c r="H816" i="1" a="1"/>
  <c r="H816" i="1" s="1"/>
  <c r="H817" i="1" a="1"/>
  <c r="H817" i="1" s="1"/>
  <c r="H818" i="1" a="1"/>
  <c r="H818" i="1"/>
  <c r="H819" i="1" a="1"/>
  <c r="H819" i="1" s="1"/>
  <c r="H820" i="1" a="1"/>
  <c r="H820" i="1" s="1"/>
  <c r="H821" i="1" a="1"/>
  <c r="H821" i="1" s="1"/>
  <c r="H822" i="1" a="1"/>
  <c r="H822" i="1" s="1"/>
  <c r="H823" i="1" a="1"/>
  <c r="H823" i="1" s="1"/>
  <c r="H824" i="1" a="1"/>
  <c r="H824" i="1" s="1"/>
  <c r="H825" i="1" a="1"/>
  <c r="H825" i="1" s="1"/>
  <c r="H826" i="1" a="1"/>
  <c r="H826" i="1" s="1"/>
  <c r="H827" i="1" a="1"/>
  <c r="H827" i="1" s="1"/>
  <c r="H828" i="1" a="1"/>
  <c r="H828" i="1" s="1"/>
  <c r="H829" i="1" a="1"/>
  <c r="H829" i="1" s="1"/>
  <c r="H830" i="1" a="1"/>
  <c r="H830" i="1" s="1"/>
  <c r="H831" i="1" a="1"/>
  <c r="H831" i="1" s="1"/>
  <c r="H832" i="1" a="1"/>
  <c r="H832" i="1" s="1"/>
  <c r="H833" i="1" a="1"/>
  <c r="H833" i="1" s="1"/>
  <c r="H834" i="1" a="1"/>
  <c r="H834" i="1"/>
  <c r="H835" i="1" a="1"/>
  <c r="H835" i="1" s="1"/>
  <c r="H836" i="1" a="1"/>
  <c r="H836" i="1" s="1"/>
  <c r="H837" i="1" a="1"/>
  <c r="H837" i="1" s="1"/>
  <c r="H838" i="1" a="1"/>
  <c r="H838" i="1" s="1"/>
  <c r="H839" i="1" a="1"/>
  <c r="H839" i="1" s="1"/>
  <c r="H840" i="1" a="1"/>
  <c r="H840" i="1" s="1"/>
  <c r="H841" i="1" a="1"/>
  <c r="H841" i="1" s="1"/>
  <c r="H842" i="1" a="1"/>
  <c r="H842" i="1" s="1"/>
  <c r="H843" i="1" a="1"/>
  <c r="H843" i="1" s="1"/>
  <c r="H844" i="1" a="1"/>
  <c r="H844" i="1" s="1"/>
  <c r="H845" i="1" a="1"/>
  <c r="H845" i="1" s="1"/>
  <c r="H846" i="1" a="1"/>
  <c r="H846" i="1" s="1"/>
  <c r="H847" i="1" a="1"/>
  <c r="H847" i="1" s="1"/>
  <c r="H848" i="1" a="1"/>
  <c r="H848" i="1" s="1"/>
  <c r="H849" i="1" a="1"/>
  <c r="H849" i="1" s="1"/>
  <c r="H850" i="1" a="1"/>
  <c r="H850" i="1"/>
  <c r="H851" i="1" a="1"/>
  <c r="H851" i="1" s="1"/>
  <c r="H852" i="1" a="1"/>
  <c r="H852" i="1" s="1"/>
  <c r="H853" i="1" a="1"/>
  <c r="H853" i="1" s="1"/>
  <c r="H854" i="1" a="1"/>
  <c r="H854" i="1" s="1"/>
  <c r="H855" i="1" a="1"/>
  <c r="H855" i="1" s="1"/>
  <c r="H856" i="1" a="1"/>
  <c r="H856" i="1" s="1"/>
  <c r="H857" i="1" a="1"/>
  <c r="H857" i="1" s="1"/>
  <c r="H858" i="1" a="1"/>
  <c r="H858" i="1" s="1"/>
  <c r="H859" i="1" a="1"/>
  <c r="H859" i="1" s="1"/>
  <c r="H860" i="1" a="1"/>
  <c r="H860" i="1" s="1"/>
  <c r="H861" i="1" a="1"/>
  <c r="H861" i="1" s="1"/>
  <c r="H862" i="1" a="1"/>
  <c r="H862" i="1" s="1"/>
  <c r="H863" i="1" a="1"/>
  <c r="H863" i="1" s="1"/>
  <c r="H864" i="1" a="1"/>
  <c r="H864" i="1" s="1"/>
  <c r="H865" i="1" a="1"/>
  <c r="H865" i="1" s="1"/>
  <c r="H866" i="1" a="1"/>
  <c r="H866" i="1"/>
  <c r="H867" i="1" a="1"/>
  <c r="H867" i="1" s="1"/>
  <c r="H868" i="1" a="1"/>
  <c r="H868" i="1" s="1"/>
  <c r="H869" i="1" a="1"/>
  <c r="H869" i="1" s="1"/>
  <c r="H870" i="1" a="1"/>
  <c r="H870" i="1" s="1"/>
  <c r="H871" i="1" a="1"/>
  <c r="H871" i="1" s="1"/>
  <c r="H872" i="1" a="1"/>
  <c r="H872" i="1" s="1"/>
  <c r="H873" i="1" a="1"/>
  <c r="H873" i="1" s="1"/>
  <c r="H874" i="1" a="1"/>
  <c r="H874" i="1" s="1"/>
  <c r="H875" i="1" a="1"/>
  <c r="H875" i="1" s="1"/>
  <c r="H876" i="1" a="1"/>
  <c r="H876" i="1" s="1"/>
  <c r="H877" i="1" a="1"/>
  <c r="H877" i="1" s="1"/>
  <c r="H878" i="1" a="1"/>
  <c r="H878" i="1" s="1"/>
  <c r="H879" i="1" a="1"/>
  <c r="H879" i="1" s="1"/>
  <c r="H880" i="1" a="1"/>
  <c r="H880" i="1" s="1"/>
  <c r="H881" i="1" a="1"/>
  <c r="H881" i="1" s="1"/>
  <c r="H882" i="1" a="1"/>
  <c r="H882" i="1"/>
  <c r="H883" i="1" a="1"/>
  <c r="H883" i="1" s="1"/>
  <c r="H884" i="1" a="1"/>
  <c r="H884" i="1" s="1"/>
  <c r="H885" i="1" a="1"/>
  <c r="H885" i="1" s="1"/>
  <c r="H886" i="1" a="1"/>
  <c r="H886" i="1" s="1"/>
  <c r="H887" i="1" a="1"/>
  <c r="H887" i="1" s="1"/>
  <c r="H888" i="1" a="1"/>
  <c r="H888" i="1" s="1"/>
  <c r="H889" i="1" a="1"/>
  <c r="H889" i="1" s="1"/>
  <c r="H890" i="1" a="1"/>
  <c r="H890" i="1" s="1"/>
  <c r="H891" i="1" a="1"/>
  <c r="H891" i="1" s="1"/>
  <c r="H892" i="1" a="1"/>
  <c r="H892" i="1" s="1"/>
  <c r="H893" i="1" a="1"/>
  <c r="H893" i="1" s="1"/>
  <c r="H894" i="1" a="1"/>
  <c r="H894" i="1" s="1"/>
  <c r="H895" i="1" a="1"/>
  <c r="H895" i="1" s="1"/>
  <c r="H896" i="1" a="1"/>
  <c r="H896" i="1" s="1"/>
  <c r="H897" i="1" a="1"/>
  <c r="H897" i="1" s="1"/>
  <c r="H898" i="1" a="1"/>
  <c r="H898" i="1"/>
  <c r="H899" i="1" a="1"/>
  <c r="H899" i="1" s="1"/>
  <c r="H900" i="1" a="1"/>
  <c r="H900" i="1" s="1"/>
  <c r="H901" i="1" a="1"/>
  <c r="H901" i="1" s="1"/>
  <c r="H902" i="1" a="1"/>
  <c r="H902" i="1" s="1"/>
  <c r="H903" i="1" a="1"/>
  <c r="H903" i="1" s="1"/>
  <c r="H904" i="1" a="1"/>
  <c r="H904" i="1" s="1"/>
  <c r="H905" i="1" a="1"/>
  <c r="H905" i="1" s="1"/>
  <c r="H906" i="1" a="1"/>
  <c r="H906" i="1" s="1"/>
  <c r="H907" i="1" a="1"/>
  <c r="H907" i="1" s="1"/>
  <c r="H908" i="1" a="1"/>
  <c r="H908" i="1" s="1"/>
  <c r="H909" i="1" a="1"/>
  <c r="H909" i="1" s="1"/>
  <c r="H910" i="1" a="1"/>
  <c r="H910" i="1" s="1"/>
  <c r="H911" i="1" a="1"/>
  <c r="H911" i="1" s="1"/>
  <c r="H912" i="1" a="1"/>
  <c r="H912" i="1" s="1"/>
  <c r="H913" i="1" a="1"/>
  <c r="H913" i="1" s="1"/>
  <c r="H914" i="1" a="1"/>
  <c r="H914" i="1"/>
  <c r="H915" i="1" a="1"/>
  <c r="H915" i="1" s="1"/>
  <c r="H916" i="1" a="1"/>
  <c r="H916" i="1" s="1"/>
  <c r="H917" i="1" a="1"/>
  <c r="H917" i="1" s="1"/>
  <c r="H918" i="1" a="1"/>
  <c r="H918" i="1" s="1"/>
  <c r="H919" i="1" a="1"/>
  <c r="H919" i="1" s="1"/>
  <c r="H920" i="1" a="1"/>
  <c r="H920" i="1" s="1"/>
  <c r="H921" i="1" a="1"/>
  <c r="H921" i="1" s="1"/>
  <c r="H922" i="1" a="1"/>
  <c r="H922" i="1" s="1"/>
  <c r="H923" i="1" a="1"/>
  <c r="H923" i="1" s="1"/>
  <c r="H924" i="1" a="1"/>
  <c r="H924" i="1" s="1"/>
  <c r="H925" i="1" a="1"/>
  <c r="H925" i="1" s="1"/>
  <c r="H926" i="1" a="1"/>
  <c r="H926" i="1" s="1"/>
  <c r="H927" i="1" a="1"/>
  <c r="H927" i="1" s="1"/>
  <c r="H928" i="1" a="1"/>
  <c r="H928" i="1" s="1"/>
  <c r="H929" i="1" a="1"/>
  <c r="H929" i="1" s="1"/>
  <c r="H930" i="1" a="1"/>
  <c r="H930" i="1"/>
  <c r="H931" i="1" a="1"/>
  <c r="H931" i="1" s="1"/>
  <c r="H932" i="1" a="1"/>
  <c r="H932" i="1" s="1"/>
  <c r="H933" i="1" a="1"/>
  <c r="H933" i="1" s="1"/>
  <c r="H934" i="1" a="1"/>
  <c r="H934" i="1" s="1"/>
  <c r="H935" i="1" a="1"/>
  <c r="H935" i="1" s="1"/>
  <c r="H936" i="1" a="1"/>
  <c r="H936" i="1" s="1"/>
  <c r="H937" i="1" a="1"/>
  <c r="H937" i="1" s="1"/>
  <c r="H938" i="1" a="1"/>
  <c r="H938" i="1" s="1"/>
  <c r="H939" i="1" a="1"/>
  <c r="H939" i="1" s="1"/>
  <c r="H940" i="1" a="1"/>
  <c r="H940" i="1" s="1"/>
  <c r="H941" i="1" a="1"/>
  <c r="H941" i="1" s="1"/>
  <c r="H942" i="1" a="1"/>
  <c r="H942" i="1" s="1"/>
  <c r="H943" i="1" a="1"/>
  <c r="H943" i="1" s="1"/>
  <c r="H944" i="1" a="1"/>
  <c r="H944" i="1" s="1"/>
  <c r="H945" i="1" a="1"/>
  <c r="H945" i="1" s="1"/>
  <c r="H946" i="1" a="1"/>
  <c r="H946" i="1"/>
  <c r="H947" i="1" a="1"/>
  <c r="H947" i="1" s="1"/>
  <c r="H948" i="1" a="1"/>
  <c r="H948" i="1" s="1"/>
  <c r="H949" i="1" a="1"/>
  <c r="H949" i="1" s="1"/>
  <c r="H950" i="1" a="1"/>
  <c r="H950" i="1" s="1"/>
  <c r="H951" i="1" a="1"/>
  <c r="H951" i="1" s="1"/>
  <c r="H952" i="1" a="1"/>
  <c r="H952" i="1" s="1"/>
  <c r="H953" i="1" a="1"/>
  <c r="H953" i="1" s="1"/>
  <c r="H954" i="1" a="1"/>
  <c r="H954" i="1" s="1"/>
  <c r="H955" i="1" a="1"/>
  <c r="H955" i="1" s="1"/>
  <c r="H956" i="1" a="1"/>
  <c r="H956" i="1" s="1"/>
  <c r="H957" i="1" a="1"/>
  <c r="H957" i="1" s="1"/>
  <c r="H958" i="1" a="1"/>
  <c r="H958" i="1" s="1"/>
  <c r="H959" i="1" a="1"/>
  <c r="H959" i="1" s="1"/>
  <c r="H960" i="1" a="1"/>
  <c r="H960" i="1" s="1"/>
  <c r="H961" i="1" a="1"/>
  <c r="H961" i="1" s="1"/>
  <c r="H962" i="1" a="1"/>
  <c r="H962" i="1"/>
  <c r="H963" i="1" a="1"/>
  <c r="H963" i="1" s="1"/>
  <c r="H964" i="1" a="1"/>
  <c r="H964" i="1" s="1"/>
  <c r="H965" i="1" a="1"/>
  <c r="H965" i="1" s="1"/>
  <c r="H966" i="1" a="1"/>
  <c r="H966" i="1" s="1"/>
  <c r="H967" i="1" a="1"/>
  <c r="H967" i="1" s="1"/>
  <c r="H968" i="1" a="1"/>
  <c r="H968" i="1" s="1"/>
  <c r="H969" i="1" a="1"/>
  <c r="H969" i="1" s="1"/>
  <c r="H970" i="1" a="1"/>
  <c r="H970" i="1" s="1"/>
  <c r="H971" i="1" a="1"/>
  <c r="H971" i="1" s="1"/>
  <c r="H972" i="1" a="1"/>
  <c r="H972" i="1" s="1"/>
  <c r="H973" i="1" a="1"/>
  <c r="H973" i="1" s="1"/>
  <c r="H974" i="1" a="1"/>
  <c r="H974" i="1" s="1"/>
  <c r="H975" i="1" a="1"/>
  <c r="H975" i="1" s="1"/>
  <c r="H976" i="1" a="1"/>
  <c r="H976" i="1" s="1"/>
  <c r="H977" i="1" a="1"/>
  <c r="H977" i="1" s="1"/>
  <c r="H978" i="1" a="1"/>
  <c r="H978" i="1"/>
  <c r="H979" i="1" a="1"/>
  <c r="H979" i="1" s="1"/>
  <c r="H980" i="1" a="1"/>
  <c r="H980" i="1" s="1"/>
  <c r="H981" i="1" a="1"/>
  <c r="H981" i="1" s="1"/>
  <c r="H982" i="1" a="1"/>
  <c r="H982" i="1" s="1"/>
  <c r="H983" i="1" a="1"/>
  <c r="H983" i="1" s="1"/>
  <c r="H984" i="1" a="1"/>
  <c r="H984" i="1" s="1"/>
  <c r="H985" i="1" a="1"/>
  <c r="H985" i="1" s="1"/>
  <c r="H986" i="1" a="1"/>
  <c r="H986" i="1" s="1"/>
  <c r="H987" i="1" a="1"/>
  <c r="H987" i="1" s="1"/>
  <c r="H988" i="1" a="1"/>
  <c r="H988" i="1" s="1"/>
  <c r="H989" i="1" a="1"/>
  <c r="H989" i="1" s="1"/>
  <c r="H990" i="1" a="1"/>
  <c r="H990" i="1" s="1"/>
  <c r="H991" i="1" a="1"/>
  <c r="H991" i="1" s="1"/>
  <c r="H992" i="1" a="1"/>
  <c r="H992" i="1" s="1"/>
  <c r="H993" i="1" a="1"/>
  <c r="H993" i="1" s="1"/>
  <c r="H994" i="1" a="1"/>
  <c r="H994" i="1"/>
  <c r="H995" i="1" a="1"/>
  <c r="H995" i="1" s="1"/>
  <c r="H996" i="1" a="1"/>
  <c r="H996" i="1" s="1"/>
  <c r="H997" i="1" a="1"/>
  <c r="H997" i="1" s="1"/>
  <c r="H998" i="1" a="1"/>
  <c r="H998" i="1" s="1"/>
  <c r="H999" i="1" a="1"/>
  <c r="H999" i="1" s="1"/>
  <c r="H1000" i="1" a="1"/>
  <c r="H1000" i="1" s="1"/>
  <c r="H1001" i="1" a="1"/>
  <c r="H1001" i="1" s="1"/>
  <c r="H2" i="1" a="1"/>
  <c r="H2" i="1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<sst xmlns="http://schemas.openxmlformats.org/spreadsheetml/2006/main" count="18" uniqueCount="18">
  <si>
    <t>时间戳</t>
    <phoneticPr fontId="2" type="noConversion"/>
  </si>
  <si>
    <t>温度</t>
    <phoneticPr fontId="2" type="noConversion"/>
  </si>
  <si>
    <t>湿度</t>
    <phoneticPr fontId="2" type="noConversion"/>
  </si>
  <si>
    <t>响应时间</t>
    <phoneticPr fontId="2" type="noConversion"/>
  </si>
  <si>
    <t>能源消耗</t>
    <phoneticPr fontId="2" type="noConversion"/>
  </si>
  <si>
    <t>光照水平</t>
    <phoneticPr fontId="2" type="noConversion"/>
  </si>
  <si>
    <t>时</t>
    <phoneticPr fontId="2" type="noConversion"/>
  </si>
  <si>
    <t>段</t>
    <phoneticPr fontId="2" type="noConversion"/>
  </si>
  <si>
    <t>行标签</t>
  </si>
  <si>
    <t>上</t>
  </si>
  <si>
    <t>晚</t>
  </si>
  <si>
    <t>下</t>
  </si>
  <si>
    <t>总计</t>
  </si>
  <si>
    <t>平均值项:温度</t>
  </si>
  <si>
    <t>平均值项:湿度</t>
  </si>
  <si>
    <t>平均值项:响应时间</t>
  </si>
  <si>
    <t>平均值项:能源消耗</t>
  </si>
  <si>
    <t>平均值项:光照水平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</si>
</sst>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小羊" refreshedDate="46109.438479629629" createdVersion="8" refreshedVersion="8" minRefreshableVersion="3" recordCount="1000" xr:uid="{E35BA715-6E55-4D60-9AF5-E9B75AB1F820}">
  <cacheSource type="worksheet">
    <worksheetSource ref="A1:H1001" sheet="Sheet1"/>
  </cacheSource>
  <cacheFields count="8">
    <cacheField name="时间戳" numFmtId="176">
      <sharedItems containsSemiMixedTypes="0" containsNonDate="0" containsDate="1" containsString="0" minDate="2023-01-01T14:00:00" maxDate="2023-12-31T11:00:00"/>
    </cacheField>
    <cacheField name="温度" numFmtId="0">
      <sharedItems containsSemiMixedTypes="0" containsString="0" containsNumber="1" minValue="20.008509340913879" maxValue="29.994782500995679"/>
    </cacheField>
    <cacheField name="湿度" numFmtId="0">
      <sharedItems containsSemiMixedTypes="0" containsString="0" containsNumber="1" minValue="30.00601524323422" maxValue="69.988335150997074"/>
    </cacheField>
    <cacheField name="光照水平" numFmtId="0">
      <sharedItems containsSemiMixedTypes="0" containsString="0" containsNumber="1" minValue="100.2284584408214" maxValue="999.98015660265048"/>
    </cacheField>
    <cacheField name="响应时间" numFmtId="0">
      <sharedItems containsSemiMixedTypes="0" containsString="0" containsNumber="1" minValue="1.00518820126776" maxValue="4.9975423324227179"/>
    </cacheField>
    <cacheField name="能源消耗" numFmtId="0">
      <sharedItems containsSemiMixedTypes="0" containsString="0" containsNumber="1" minValue="0.10039320211592211" maxValue="1.997590060432161"/>
    </cacheField>
    <cacheField name="时" numFmtId="0">
      <sharedItems containsSemiMixedTypes="0" containsString="0" containsNumber="1" containsInteger="1" minValue="0" maxValue="23"/>
    </cacheField>
    <cacheField name="段" numFmtId="0">
      <sharedItems count="3">
        <s v="晚"/>
        <s v="下"/>
        <s v="上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d v="2023-12-29T21:00:00"/>
    <n v="23.747935310826421"/>
    <n v="54.062400119025803"/>
    <n v="511.98372987704732"/>
    <n v="3.5467816270435368"/>
    <n v="1.5217091644504279"/>
    <n v="21"/>
    <x v="0"/>
  </r>
  <r>
    <d v="2023-04-01T23:00:00"/>
    <n v="24.286859808129488"/>
    <n v="50.541366689360153"/>
    <n v="439.22593155920379"/>
    <n v="4.6001822804552601"/>
    <n v="0.44238514390095113"/>
    <n v="23"/>
    <x v="0"/>
  </r>
  <r>
    <d v="2023-12-29T19:00:00"/>
    <n v="26.830566188960169"/>
    <n v="61.285493177540417"/>
    <n v="732.10161651018075"/>
    <n v="4.0958109629275858"/>
    <n v="0.83914397461171719"/>
    <n v="19"/>
    <x v="0"/>
  </r>
  <r>
    <d v="2023-08-07T13:00:00"/>
    <n v="26.009477895248128"/>
    <n v="65.483127903421618"/>
    <n v="286.59169452695642"/>
    <n v="1.5154614190023641"/>
    <n v="0.17144034497314389"/>
    <n v="13"/>
    <x v="1"/>
  </r>
  <r>
    <d v="2023-12-29T17:00:00"/>
    <n v="20.704829794978121"/>
    <n v="30.080476818863531"/>
    <n v="166.85158552905219"/>
    <n v="1.2666294644631211"/>
    <n v="0.12239670444337621"/>
    <n v="17"/>
    <x v="1"/>
  </r>
  <r>
    <d v="2023-10-02T08:00:00"/>
    <n v="21.57477859077407"/>
    <n v="68.945079851357804"/>
    <n v="429.42396260714719"/>
    <n v="4.7683571966376839"/>
    <n v="1.9929089561062041"/>
    <n v="8"/>
    <x v="2"/>
  </r>
  <r>
    <d v="2023-03-03T16:00:00"/>
    <n v="20.705556869223461"/>
    <n v="43.764829478916603"/>
    <n v="406.57181024977081"/>
    <n v="1.6464164056850279"/>
    <n v="1.0275736503053301"/>
    <n v="16"/>
    <x v="1"/>
  </r>
  <r>
    <d v="2023-08-31T15:00:00"/>
    <n v="20.345901257542671"/>
    <n v="45.965093666887697"/>
    <n v="208.47169277034789"/>
    <n v="3.5166246608253768"/>
    <n v="0.80684705154664793"/>
    <n v="15"/>
    <x v="1"/>
  </r>
  <r>
    <d v="2023-09-15T22:00:00"/>
    <n v="27.760049179450409"/>
    <n v="44.707328017667287"/>
    <n v="869.10606626174445"/>
    <n v="1.9430626402036431"/>
    <n v="0.47272697967155891"/>
    <n v="22"/>
    <x v="0"/>
  </r>
  <r>
    <d v="2023-10-29T12:00:00"/>
    <n v="28.509589076629862"/>
    <n v="63.774535333155491"/>
    <n v="701.33300929738732"/>
    <n v="3.0621925215269781"/>
    <n v="1.633665265668238"/>
    <n v="12"/>
    <x v="2"/>
  </r>
  <r>
    <d v="2023-10-25T06:00:00"/>
    <n v="24.16177832226116"/>
    <n v="59.471705557620133"/>
    <n v="123.2120471406117"/>
    <n v="2.950095596292047"/>
    <n v="1.4409301671072809"/>
    <n v="6"/>
    <x v="2"/>
  </r>
  <r>
    <d v="2023-10-24T02:00:00"/>
    <n v="29.688407845223871"/>
    <n v="37.15643570379121"/>
    <n v="586.14360139700659"/>
    <n v="3.874917185525617"/>
    <n v="0.10295677606630101"/>
    <n v="2"/>
    <x v="0"/>
  </r>
  <r>
    <d v="2023-02-25T21:00:00"/>
    <n v="28.63597702236331"/>
    <n v="46.32374223031762"/>
    <n v="238.42286825515461"/>
    <n v="4.2821491709242281"/>
    <n v="1.5653306787764489"/>
    <n v="21"/>
    <x v="0"/>
  </r>
  <r>
    <d v="2023-06-27T10:00:00"/>
    <n v="28.603850438750801"/>
    <n v="30.109069262480741"/>
    <n v="560.0981230719965"/>
    <n v="4.9954193489499046"/>
    <n v="0.3118172157863488"/>
    <n v="10"/>
    <x v="2"/>
  </r>
  <r>
    <d v="2023-10-14T18:00:00"/>
    <n v="23.671843999329369"/>
    <n v="62.124532849458582"/>
    <n v="794.12730343565465"/>
    <n v="1.834110728011882"/>
    <n v="1.902402092349663"/>
    <n v="18"/>
    <x v="1"/>
  </r>
  <r>
    <d v="2023-09-18T02:00:00"/>
    <n v="29.543471631043499"/>
    <n v="39.451219048777062"/>
    <n v="471.7482544585547"/>
    <n v="2.7466538914318961"/>
    <n v="0.73219855951546076"/>
    <n v="2"/>
    <x v="0"/>
  </r>
  <r>
    <d v="2023-03-17T07:00:00"/>
    <n v="27.489298456338641"/>
    <n v="33.320667611736887"/>
    <n v="637.17839981730958"/>
    <n v="2.5040335890451169"/>
    <n v="0.95709527312037102"/>
    <n v="7"/>
    <x v="2"/>
  </r>
  <r>
    <d v="2023-08-19T18:00:00"/>
    <n v="23.536924291077241"/>
    <n v="56.43075874738112"/>
    <n v="591.79503615327735"/>
    <n v="1.135177269340421"/>
    <n v="0.1094637207801315"/>
    <n v="18"/>
    <x v="1"/>
  </r>
  <r>
    <d v="2023-07-19T23:00:00"/>
    <n v="28.888328939449611"/>
    <n v="38.763824246862818"/>
    <n v="619.84527378221708"/>
    <n v="1.9473080946709429"/>
    <n v="1.6663461080444959"/>
    <n v="23"/>
    <x v="0"/>
  </r>
  <r>
    <d v="2023-05-20T01:00:00"/>
    <n v="20.041122999651289"/>
    <n v="51.960307347192682"/>
    <n v="530.30542105959194"/>
    <n v="3.1857950849768559"/>
    <n v="0.68551968303745059"/>
    <n v="1"/>
    <x v="0"/>
  </r>
  <r>
    <d v="2023-11-17T11:00:00"/>
    <n v="25.715910412338829"/>
    <n v="36.448196170808117"/>
    <n v="250.32876837260079"/>
    <n v="4.5077735916626764"/>
    <n v="1.1572490647219491"/>
    <n v="11"/>
    <x v="2"/>
  </r>
  <r>
    <d v="2023-03-06T11:00:00"/>
    <n v="25.201727930021921"/>
    <n v="61.604334110583849"/>
    <n v="317.45284256166292"/>
    <n v="2.2551908684011641"/>
    <n v="1.860541514413381"/>
    <n v="11"/>
    <x v="2"/>
  </r>
  <r>
    <d v="2023-05-21T22:00:00"/>
    <n v="20.817899405302619"/>
    <n v="69.278941008847511"/>
    <n v="904.64441195525467"/>
    <n v="3.8056911364794739"/>
    <n v="0.39682252810957092"/>
    <n v="22"/>
    <x v="0"/>
  </r>
  <r>
    <d v="2023-05-15T17:00:00"/>
    <n v="28.62356489502687"/>
    <n v="34.299682327475821"/>
    <n v="764.38583862372661"/>
    <n v="4.7603910550092756"/>
    <n v="1.747926264568751"/>
    <n v="17"/>
    <x v="1"/>
  </r>
  <r>
    <d v="2023-02-19T04:00:00"/>
    <n v="22.817111676124998"/>
    <n v="63.65650443489389"/>
    <n v="984.57925470088276"/>
    <n v="1.717467565962675"/>
    <n v="1.050453968600854"/>
    <n v="4"/>
    <x v="0"/>
  </r>
  <r>
    <d v="2023-02-07T00:00:00"/>
    <n v="23.76350079453049"/>
    <n v="49.591582083108733"/>
    <n v="148.71706861995071"/>
    <n v="1.4342823376737059"/>
    <n v="1.8564667307075791"/>
    <n v="0"/>
    <x v="0"/>
  </r>
  <r>
    <d v="2023-02-24T08:00:00"/>
    <n v="24.751534144294091"/>
    <n v="32.056434611905743"/>
    <n v="384.91489406828208"/>
    <n v="4.9461510986780883"/>
    <n v="1.6624745953542091"/>
    <n v="8"/>
    <x v="2"/>
  </r>
  <r>
    <d v="2023-05-05T02:00:00"/>
    <n v="28.169348304723989"/>
    <n v="50.852303801674417"/>
    <n v="963.35892147747848"/>
    <n v="1.200103564307911"/>
    <n v="0.94166205825226879"/>
    <n v="2"/>
    <x v="0"/>
  </r>
  <r>
    <d v="2023-11-18T21:00:00"/>
    <n v="25.949380307729591"/>
    <n v="49.276916768936893"/>
    <n v="495.44092981600409"/>
    <n v="2.1240282594827962"/>
    <n v="0.26855236435801361"/>
    <n v="21"/>
    <x v="0"/>
  </r>
  <r>
    <d v="2023-10-07T09:00:00"/>
    <n v="25.639572035274568"/>
    <n v="65.656520117244469"/>
    <n v="643.90370169955577"/>
    <n v="4.4773591251030478"/>
    <n v="0.15737516427584869"/>
    <n v="9"/>
    <x v="2"/>
  </r>
  <r>
    <d v="2023-09-18T21:00:00"/>
    <n v="23.623775759255889"/>
    <n v="43.615671488151307"/>
    <n v="612.76729533691446"/>
    <n v="2.1016810174565261"/>
    <n v="1.761038538684744"/>
    <n v="21"/>
    <x v="0"/>
  </r>
  <r>
    <d v="2023-02-07T17:00:00"/>
    <n v="22.796846717917202"/>
    <n v="60.299686663062893"/>
    <n v="226.62046288193119"/>
    <n v="1.7021233513551479"/>
    <n v="1.0011413431709011"/>
    <n v="17"/>
    <x v="1"/>
  </r>
  <r>
    <d v="2023-10-02T05:00:00"/>
    <n v="24.781202319371779"/>
    <n v="35.292240401787637"/>
    <n v="757.99386867541978"/>
    <n v="4.1273247307535268"/>
    <n v="1.361020325062728"/>
    <n v="5"/>
    <x v="0"/>
  </r>
  <r>
    <d v="2023-07-14T12:00:00"/>
    <n v="22.557335320315861"/>
    <n v="45.540130102315572"/>
    <n v="152.48133862921699"/>
    <n v="3.9028164185459868"/>
    <n v="1.7751319869968201"/>
    <n v="12"/>
    <x v="2"/>
  </r>
  <r>
    <d v="2023-10-02T15:00:00"/>
    <n v="23.39511438204282"/>
    <n v="51.574353457101751"/>
    <n v="584.16660234271626"/>
    <n v="1.4310913141744279"/>
    <n v="0.67885208382092443"/>
    <n v="15"/>
    <x v="1"/>
  </r>
  <r>
    <d v="2023-01-13T17:00:00"/>
    <n v="24.403763349468271"/>
    <n v="37.260892211786853"/>
    <n v="597.37400579631901"/>
    <n v="3.0071683249324188"/>
    <n v="1.80194973494356"/>
    <n v="17"/>
    <x v="1"/>
  </r>
  <r>
    <d v="2023-03-14T04:00:00"/>
    <n v="28.43500864393631"/>
    <n v="37.910801191370368"/>
    <n v="281.66360536221072"/>
    <n v="4.5739070136910502"/>
    <n v="0.15231163491260791"/>
    <n v="4"/>
    <x v="0"/>
  </r>
  <r>
    <d v="2023-04-26T21:00:00"/>
    <n v="29.305106167465389"/>
    <n v="39.813635268623877"/>
    <n v="775.38180298161626"/>
    <n v="2.696264938746971"/>
    <n v="0.63185878959485176"/>
    <n v="21"/>
    <x v="0"/>
  </r>
  <r>
    <d v="2023-11-16T08:00:00"/>
    <n v="28.29741369555985"/>
    <n v="59.711857864879178"/>
    <n v="906.55913462522801"/>
    <n v="1.8887012410831601"/>
    <n v="1.642356150689285"/>
    <n v="8"/>
    <x v="2"/>
  </r>
  <r>
    <d v="2023-07-12T08:00:00"/>
    <n v="25.25699714893106"/>
    <n v="67.739636236456434"/>
    <n v="981.16119960176593"/>
    <n v="3.7775459769829438"/>
    <n v="1.721118604814929"/>
    <n v="8"/>
    <x v="2"/>
  </r>
  <r>
    <d v="2023-04-12T08:00:00"/>
    <n v="27.11557253294275"/>
    <n v="35.08621179423195"/>
    <n v="124.135242525668"/>
    <n v="1.911767059139889"/>
    <n v="1.8951872511794139"/>
    <n v="8"/>
    <x v="2"/>
  </r>
  <r>
    <d v="2023-04-11T02:00:00"/>
    <n v="23.35208609210687"/>
    <n v="51.91759760711389"/>
    <n v="378.75241613341689"/>
    <n v="4.6318165010372967"/>
    <n v="0.67572141768141658"/>
    <n v="2"/>
    <x v="0"/>
  </r>
  <r>
    <d v="2023-10-03T06:00:00"/>
    <n v="24.591969225542819"/>
    <n v="35.884150995199853"/>
    <n v="932.34143208386149"/>
    <n v="2.6752827930471068"/>
    <n v="1.582447612670659"/>
    <n v="6"/>
    <x v="2"/>
  </r>
  <r>
    <d v="2023-06-03T13:00:00"/>
    <n v="29.40489656347205"/>
    <n v="32.170233452581122"/>
    <n v="145.4548663271691"/>
    <n v="2.951141527039391"/>
    <n v="1.9717475750327871"/>
    <n v="13"/>
    <x v="1"/>
  </r>
  <r>
    <d v="2023-03-21T00:00:00"/>
    <n v="23.549474799949159"/>
    <n v="31.578282893821211"/>
    <n v="344.82267422556572"/>
    <n v="3.7780223567032012"/>
    <n v="1.101311428712334"/>
    <n v="0"/>
    <x v="0"/>
  </r>
  <r>
    <d v="2023-12-06T19:00:00"/>
    <n v="21.72985677257379"/>
    <n v="47.156259325983072"/>
    <n v="580.04969890042821"/>
    <n v="2.4380628529659338"/>
    <n v="0.57993295031224079"/>
    <n v="19"/>
    <x v="0"/>
  </r>
  <r>
    <d v="2023-12-05T10:00:00"/>
    <n v="24.720940570179781"/>
    <n v="47.012910371721183"/>
    <n v="766.17742543711881"/>
    <n v="4.7681632427247642"/>
    <n v="0.17402839925464511"/>
    <n v="10"/>
    <x v="2"/>
  </r>
  <r>
    <d v="2023-06-06T22:00:00"/>
    <n v="26.525916187915879"/>
    <n v="56.567697481948542"/>
    <n v="305.25077850174182"/>
    <n v="2.0916317906201618"/>
    <n v="1.5433408192892371"/>
    <n v="22"/>
    <x v="0"/>
  </r>
  <r>
    <d v="2023-04-09T06:00:00"/>
    <n v="21.26514259808496"/>
    <n v="45.59727039876158"/>
    <n v="370.30976903227548"/>
    <n v="4.8629693767312663"/>
    <n v="0.36380623043308719"/>
    <n v="6"/>
    <x v="2"/>
  </r>
  <r>
    <d v="2023-10-13T05:00:00"/>
    <n v="21.221014186726109"/>
    <n v="39.18865678491396"/>
    <n v="275.08458630600518"/>
    <n v="2.552819940947785"/>
    <n v="0.83519095221882922"/>
    <n v="5"/>
    <x v="0"/>
  </r>
  <r>
    <d v="2023-10-21T19:00:00"/>
    <n v="23.036948909393999"/>
    <n v="33.852132220008912"/>
    <n v="498.75584889582552"/>
    <n v="4.1212185173182254"/>
    <n v="0.68762797514118235"/>
    <n v="19"/>
    <x v="0"/>
  </r>
  <r>
    <d v="2023-06-19T14:00:00"/>
    <n v="29.07649101398334"/>
    <n v="52.846310393168046"/>
    <n v="553.91144469972392"/>
    <n v="4.239957592160712"/>
    <n v="0.89201627861193844"/>
    <n v="14"/>
    <x v="1"/>
  </r>
  <r>
    <d v="2023-01-17T00:00:00"/>
    <n v="26.74603850992963"/>
    <n v="38.693541208114787"/>
    <n v="909.30427363062654"/>
    <n v="3.484126899293158"/>
    <n v="1.8213980903718701"/>
    <n v="0"/>
    <x v="0"/>
  </r>
  <r>
    <d v="2023-05-07T14:00:00"/>
    <n v="22.219341563801098"/>
    <n v="45.086020647646173"/>
    <n v="793.6789423940736"/>
    <n v="4.2474850562626996"/>
    <n v="0.90930074632153768"/>
    <n v="14"/>
    <x v="1"/>
  </r>
  <r>
    <d v="2023-11-23T08:00:00"/>
    <n v="26.034875606219192"/>
    <n v="30.701213538513009"/>
    <n v="743.81054554356547"/>
    <n v="3.3629793190778461"/>
    <n v="1.8342141939848839"/>
    <n v="8"/>
    <x v="2"/>
  </r>
  <r>
    <d v="2023-07-31T12:00:00"/>
    <n v="26.602398338119119"/>
    <n v="39.961682352103942"/>
    <n v="615.40278234157017"/>
    <n v="3.4093896265642969"/>
    <n v="1.630261633431356"/>
    <n v="12"/>
    <x v="2"/>
  </r>
  <r>
    <d v="2023-07-04T15:00:00"/>
    <n v="25.23054679907845"/>
    <n v="56.040112411745767"/>
    <n v="395.72218231170478"/>
    <n v="1.562709118220865"/>
    <n v="0.64791883093015812"/>
    <n v="15"/>
    <x v="1"/>
  </r>
  <r>
    <d v="2023-12-03T20:00:00"/>
    <n v="27.593824605373289"/>
    <n v="34.925512570355579"/>
    <n v="163.06924627748819"/>
    <n v="4.5618562471390236"/>
    <n v="0.70436913619753116"/>
    <n v="20"/>
    <x v="0"/>
  </r>
  <r>
    <d v="2023-07-19T19:00:00"/>
    <n v="20.24738988659157"/>
    <n v="56.454215367968672"/>
    <n v="332.92684450646442"/>
    <n v="1.6160155602076789"/>
    <n v="0.80270402674270847"/>
    <n v="19"/>
    <x v="0"/>
  </r>
  <r>
    <d v="2023-02-23T12:00:00"/>
    <n v="21.91117227103954"/>
    <n v="64.416833331703586"/>
    <n v="275.21853312174181"/>
    <n v="3.0214631390657289"/>
    <n v="1.250729664078194"/>
    <n v="12"/>
    <x v="2"/>
  </r>
  <r>
    <d v="2023-10-03T21:00:00"/>
    <n v="29.663717444251191"/>
    <n v="64.774757077661576"/>
    <n v="305.10755090170352"/>
    <n v="2.2733657262606721"/>
    <n v="1.3807187825684899"/>
    <n v="21"/>
    <x v="0"/>
  </r>
  <r>
    <d v="2023-11-16T19:00:00"/>
    <n v="24.977400017568321"/>
    <n v="36.295833964910152"/>
    <n v="304.09739306171201"/>
    <n v="2.1540922419606741"/>
    <n v="1.9472366878417871"/>
    <n v="19"/>
    <x v="0"/>
  </r>
  <r>
    <d v="2023-09-22T22:00:00"/>
    <n v="20.765147983935289"/>
    <n v="48.693306096769142"/>
    <n v="487.4920133913501"/>
    <n v="1.6785303931298661"/>
    <n v="1.8603805206444171"/>
    <n v="22"/>
    <x v="0"/>
  </r>
  <r>
    <d v="2023-09-04T00:00:00"/>
    <n v="23.081796902179949"/>
    <n v="65.782546281045313"/>
    <n v="442.64339170112657"/>
    <n v="3.1911675469489351"/>
    <n v="1.2625562707088289"/>
    <n v="0"/>
    <x v="0"/>
  </r>
  <r>
    <d v="2023-06-23T22:00:00"/>
    <n v="20.017723861734069"/>
    <n v="59.197048012461323"/>
    <n v="403.34208638040991"/>
    <n v="4.3781587640070967"/>
    <n v="0.18785368104831079"/>
    <n v="22"/>
    <x v="0"/>
  </r>
  <r>
    <d v="2023-07-10T20:00:00"/>
    <n v="25.79414241885614"/>
    <n v="64.655455139213203"/>
    <n v="893.11381433957081"/>
    <n v="2.9876836463187688"/>
    <n v="1.1360844787461319"/>
    <n v="20"/>
    <x v="0"/>
  </r>
  <r>
    <d v="2023-01-24T15:00:00"/>
    <n v="29.994782500995679"/>
    <n v="45.475720493069787"/>
    <n v="282.46367311764828"/>
    <n v="2.4395935271683942"/>
    <n v="0.86691642041827432"/>
    <n v="15"/>
    <x v="1"/>
  </r>
  <r>
    <d v="2023-07-11T05:00:00"/>
    <n v="25.900994975210711"/>
    <n v="49.96050657375244"/>
    <n v="247.28830497435939"/>
    <n v="4.7084433488077266"/>
    <n v="1.13507957832064"/>
    <n v="5"/>
    <x v="0"/>
  </r>
  <r>
    <d v="2023-07-05T19:00:00"/>
    <n v="26.10072928814445"/>
    <n v="65.804562115382708"/>
    <n v="168.40260517294629"/>
    <n v="1.5353980337027591"/>
    <n v="0.17633510919384221"/>
    <n v="19"/>
    <x v="0"/>
  </r>
  <r>
    <d v="2023-07-14T03:00:00"/>
    <n v="23.277266127280789"/>
    <n v="47.160548433821859"/>
    <n v="932.37413992831739"/>
    <n v="2.921276672940158"/>
    <n v="1.991948194111637"/>
    <n v="3"/>
    <x v="0"/>
  </r>
  <r>
    <d v="2023-01-09T04:00:00"/>
    <n v="22.370325456028102"/>
    <n v="56.80670815612266"/>
    <n v="274.91167408734009"/>
    <n v="4.0456444926643567"/>
    <n v="0.20822090379724159"/>
    <n v="4"/>
    <x v="0"/>
  </r>
  <r>
    <d v="2023-02-17T07:00:00"/>
    <n v="25.081565720401191"/>
    <n v="46.983630880337223"/>
    <n v="615.04118654773674"/>
    <n v="4.5916931754336527"/>
    <n v="0.61809187523325682"/>
    <n v="7"/>
    <x v="2"/>
  </r>
  <r>
    <d v="2023-12-25T05:00:00"/>
    <n v="28.997861669773901"/>
    <n v="58.320259212211063"/>
    <n v="436.34603740304198"/>
    <n v="4.7111215626397538"/>
    <n v="0.23703565498219531"/>
    <n v="5"/>
    <x v="0"/>
  </r>
  <r>
    <d v="2023-10-17T03:00:00"/>
    <n v="20.097511041147008"/>
    <n v="54.528992629614407"/>
    <n v="599.76977566061362"/>
    <n v="1.4480186635366341"/>
    <n v="1.1404611014081141"/>
    <n v="3"/>
    <x v="0"/>
  </r>
  <r>
    <d v="2023-12-01T02:00:00"/>
    <n v="25.696508422418471"/>
    <n v="47.664139727497371"/>
    <n v="678.3097048483412"/>
    <n v="3.162179545971652"/>
    <n v="0.76845476345289698"/>
    <n v="2"/>
    <x v="0"/>
  </r>
  <r>
    <d v="2023-06-03T14:00:00"/>
    <n v="24.28511071270319"/>
    <n v="51.960879921195883"/>
    <n v="856.06932679916349"/>
    <n v="1.846102183783245"/>
    <n v="0.81306970142016077"/>
    <n v="14"/>
    <x v="1"/>
  </r>
  <r>
    <d v="2023-03-01T06:00:00"/>
    <n v="26.211793059939911"/>
    <n v="53.92595574950893"/>
    <n v="556.53672966001591"/>
    <n v="1.7086745615529091"/>
    <n v="1.5994182896300839"/>
    <n v="6"/>
    <x v="2"/>
  </r>
  <r>
    <d v="2023-01-21T17:00:00"/>
    <n v="28.39958026208015"/>
    <n v="65.162328104191673"/>
    <n v="394.51664038544732"/>
    <n v="4.4623910128055968"/>
    <n v="1.817638219581706"/>
    <n v="17"/>
    <x v="1"/>
  </r>
  <r>
    <d v="2023-06-28T11:00:00"/>
    <n v="24.490439126266178"/>
    <n v="57.074847549835752"/>
    <n v="262.97193133616929"/>
    <n v="2.4762944188683309"/>
    <n v="0.41482426792014199"/>
    <n v="11"/>
    <x v="2"/>
  </r>
  <r>
    <d v="2023-01-27T12:00:00"/>
    <n v="22.176827816207059"/>
    <n v="58.550178927113492"/>
    <n v="646.13531929493888"/>
    <n v="1.424254448637875"/>
    <n v="0.63005618611391823"/>
    <n v="12"/>
    <x v="2"/>
  </r>
  <r>
    <d v="2023-08-27T23:00:00"/>
    <n v="23.766069869311611"/>
    <n v="68.797063676695757"/>
    <n v="218.80394951313929"/>
    <n v="1.8730165371875289"/>
    <n v="0.99818437837351104"/>
    <n v="23"/>
    <x v="0"/>
  </r>
  <r>
    <d v="2023-09-06T13:00:00"/>
    <n v="21.505513716508439"/>
    <n v="32.706470278750061"/>
    <n v="870.22643707596615"/>
    <n v="2.5236382022295318"/>
    <n v="0.3144751732697777"/>
    <n v="13"/>
    <x v="1"/>
  </r>
  <r>
    <d v="2023-02-15T19:00:00"/>
    <n v="20.84899214210839"/>
    <n v="37.504542536717601"/>
    <n v="125.01053918195009"/>
    <n v="3.5986045464448191"/>
    <n v="0.83442235589804503"/>
    <n v="19"/>
    <x v="0"/>
  </r>
  <r>
    <d v="2023-04-26T03:00:00"/>
    <n v="23.75876349403163"/>
    <n v="42.724891723321051"/>
    <n v="860.76985809571443"/>
    <n v="3.4969071915616698"/>
    <n v="0.67396728666828043"/>
    <n v="3"/>
    <x v="0"/>
  </r>
  <r>
    <d v="2023-08-02T17:00:00"/>
    <n v="26.256985496114691"/>
    <n v="67.842693746283487"/>
    <n v="297.32195968044908"/>
    <n v="4.6980031768767159"/>
    <n v="1.8517550403635219"/>
    <n v="17"/>
    <x v="1"/>
  </r>
  <r>
    <d v="2023-12-18T19:00:00"/>
    <n v="22.628353360875501"/>
    <n v="39.14220103041464"/>
    <n v="539.07205963237084"/>
    <n v="2.2611753878449572"/>
    <n v="0.47721482882744581"/>
    <n v="19"/>
    <x v="0"/>
  </r>
  <r>
    <d v="2023-02-28T14:00:00"/>
    <n v="29.15684159469194"/>
    <n v="52.603782911135752"/>
    <n v="757.46863258547046"/>
    <n v="2.588441094100983"/>
    <n v="1.4703016563394229"/>
    <n v="14"/>
    <x v="1"/>
  </r>
  <r>
    <d v="2023-10-20T21:00:00"/>
    <n v="26.889512994530019"/>
    <n v="34.710445218855888"/>
    <n v="805.75015500576137"/>
    <n v="2.1323026653808368"/>
    <n v="0.51019709663156532"/>
    <n v="21"/>
    <x v="0"/>
  </r>
  <r>
    <d v="2023-04-13T00:00:00"/>
    <n v="26.863134531018989"/>
    <n v="40.826688149820107"/>
    <n v="461.60181036336428"/>
    <n v="1.4663889483159149"/>
    <n v="1.2887509196479121"/>
    <n v="0"/>
    <x v="0"/>
  </r>
  <r>
    <d v="2023-07-12T22:00:00"/>
    <n v="26.917106852566381"/>
    <n v="41.044388588514018"/>
    <n v="549.50928297913106"/>
    <n v="4.8438765699533972"/>
    <n v="1.205782383466913"/>
    <n v="22"/>
    <x v="0"/>
  </r>
  <r>
    <d v="2023-09-14T07:00:00"/>
    <n v="20.016844982284429"/>
    <n v="58.33865051708095"/>
    <n v="126.6153923154727"/>
    <n v="1.3841811287840571"/>
    <n v="0.97157615614806558"/>
    <n v="7"/>
    <x v="2"/>
  </r>
  <r>
    <d v="2023-06-03T17:00:00"/>
    <n v="28.130067534159011"/>
    <n v="34.353163277468212"/>
    <n v="409.62345329165299"/>
    <n v="2.8910952291446752"/>
    <n v="1.652123874145663"/>
    <n v="17"/>
    <x v="1"/>
  </r>
  <r>
    <d v="2023-11-26T12:00:00"/>
    <n v="29.1760862794338"/>
    <n v="60.279379762745393"/>
    <n v="335.42096306865011"/>
    <n v="3.2800404868980562"/>
    <n v="0.52316266931856104"/>
    <n v="12"/>
    <x v="2"/>
  </r>
  <r>
    <d v="2023-11-04T00:00:00"/>
    <n v="20.193979837360889"/>
    <n v="42.141847433127367"/>
    <n v="451.06216669929961"/>
    <n v="3.8008290559824909"/>
    <n v="1.006832425647322"/>
    <n v="0"/>
    <x v="0"/>
  </r>
  <r>
    <d v="2023-02-07T04:00:00"/>
    <n v="25.98293990385238"/>
    <n v="59.338816885107221"/>
    <n v="370.80403328766761"/>
    <n v="2.0882833305187769"/>
    <n v="1.9665934427040641"/>
    <n v="4"/>
    <x v="0"/>
  </r>
  <r>
    <d v="2023-09-18T06:00:00"/>
    <n v="26.76575770127479"/>
    <n v="44.662444616570063"/>
    <n v="243.76582328509059"/>
    <n v="3.064279111910758"/>
    <n v="0.4481973996476446"/>
    <n v="6"/>
    <x v="2"/>
  </r>
  <r>
    <d v="2023-08-27T13:00:00"/>
    <n v="21.962425809493411"/>
    <n v="47.056042348835348"/>
    <n v="947.55728655805035"/>
    <n v="2.550598360435973"/>
    <n v="1.136321664196706"/>
    <n v="13"/>
    <x v="1"/>
  </r>
  <r>
    <d v="2023-02-16T22:00:00"/>
    <n v="28.382112629992911"/>
    <n v="35.03323039615168"/>
    <n v="486.3509509166397"/>
    <n v="1.3878323043619509"/>
    <n v="0.65690098828609578"/>
    <n v="22"/>
    <x v="0"/>
  </r>
  <r>
    <d v="2023-04-19T01:00:00"/>
    <n v="26.258314142890882"/>
    <n v="34.273676382768947"/>
    <n v="674.02244083898654"/>
    <n v="1.482030015846556"/>
    <n v="0.33523151305206028"/>
    <n v="1"/>
    <x v="0"/>
  </r>
  <r>
    <d v="2023-02-07T06:00:00"/>
    <n v="22.250550733295039"/>
    <n v="51.673673617972412"/>
    <n v="934.08502257740258"/>
    <n v="2.614726425053314"/>
    <n v="1.7180266636958299"/>
    <n v="6"/>
    <x v="2"/>
  </r>
  <r>
    <d v="2023-06-20T04:00:00"/>
    <n v="29.67190116717553"/>
    <n v="55.482806137503637"/>
    <n v="615.22643336520991"/>
    <n v="1.0140963031199131"/>
    <n v="1.1975897989861"/>
    <n v="4"/>
    <x v="0"/>
  </r>
  <r>
    <d v="2023-10-29T15:00:00"/>
    <n v="22.1586562467402"/>
    <n v="33.685226813113253"/>
    <n v="214.29924854492961"/>
    <n v="1.099881314744845"/>
    <n v="1.199775600669563"/>
    <n v="15"/>
    <x v="1"/>
  </r>
  <r>
    <d v="2023-12-20T10:00:00"/>
    <n v="26.785878069331911"/>
    <n v="35.577289751535901"/>
    <n v="809.72322117181147"/>
    <n v="1.213058166100931"/>
    <n v="1.1361360008028849"/>
    <n v="10"/>
    <x v="2"/>
  </r>
  <r>
    <d v="2023-12-03T07:00:00"/>
    <n v="24.738897788599228"/>
    <n v="31.2977100409387"/>
    <n v="797.19766477656674"/>
    <n v="4.0616082510754401"/>
    <n v="0.45048940295833267"/>
    <n v="7"/>
    <x v="2"/>
  </r>
  <r>
    <d v="2023-07-15T15:00:00"/>
    <n v="27.23284822559139"/>
    <n v="36.496347914474129"/>
    <n v="464.14876644847868"/>
    <n v="4.5575909159048971"/>
    <n v="1.180403014613733"/>
    <n v="15"/>
    <x v="1"/>
  </r>
  <r>
    <d v="2023-01-31T18:00:00"/>
    <n v="20.977591239205349"/>
    <n v="38.903100834953257"/>
    <n v="585.45426223136349"/>
    <n v="4.6170683896918412"/>
    <n v="0.2736391274272888"/>
    <n v="18"/>
    <x v="1"/>
  </r>
  <r>
    <d v="2023-04-17T22:00:00"/>
    <n v="29.525452555333541"/>
    <n v="57.628123818121253"/>
    <n v="482.39740420246989"/>
    <n v="1.032492188367802"/>
    <n v="1.397019553797614"/>
    <n v="22"/>
    <x v="0"/>
  </r>
  <r>
    <d v="2023-06-12T06:00:00"/>
    <n v="22.044890308079111"/>
    <n v="32.608585888665033"/>
    <n v="301.82000848284548"/>
    <n v="3.6167431553223648"/>
    <n v="0.19776861931309839"/>
    <n v="6"/>
    <x v="2"/>
  </r>
  <r>
    <d v="2023-03-19T17:00:00"/>
    <n v="22.203839392367531"/>
    <n v="57.496260365468707"/>
    <n v="786.62953972691128"/>
    <n v="2.145700635569427"/>
    <n v="0.45938712224620981"/>
    <n v="17"/>
    <x v="1"/>
  </r>
  <r>
    <d v="2023-05-18T17:00:00"/>
    <n v="25.540285354922339"/>
    <n v="46.217138946474407"/>
    <n v="769.99152366969327"/>
    <n v="1.2795179194131729"/>
    <n v="0.65901381447891316"/>
    <n v="17"/>
    <x v="1"/>
  </r>
  <r>
    <d v="2023-05-05T09:00:00"/>
    <n v="23.497332634208711"/>
    <n v="35.718148932952531"/>
    <n v="682.35030272265362"/>
    <n v="1.4150258237562059"/>
    <n v="0.62996931355377017"/>
    <n v="9"/>
    <x v="2"/>
  </r>
  <r>
    <d v="2023-02-13T16:00:00"/>
    <n v="24.4212968565122"/>
    <n v="69.293166931263215"/>
    <n v="510.07644149847141"/>
    <n v="1.2669322854135741"/>
    <n v="1.6429943490246131"/>
    <n v="16"/>
    <x v="1"/>
  </r>
  <r>
    <d v="2023-05-15T05:00:00"/>
    <n v="20.370984965262359"/>
    <n v="50.17076088331784"/>
    <n v="518.32542941079419"/>
    <n v="3.2010703305018189"/>
    <n v="0.64672622474332309"/>
    <n v="5"/>
    <x v="0"/>
  </r>
  <r>
    <d v="2023-05-02T13:00:00"/>
    <n v="22.348844452006279"/>
    <n v="41.767371101190427"/>
    <n v="368.59946358485843"/>
    <n v="2.2275026563663509"/>
    <n v="0.2405200140315733"/>
    <n v="13"/>
    <x v="1"/>
  </r>
  <r>
    <d v="2023-09-19T23:00:00"/>
    <n v="27.73533116741887"/>
    <n v="32.220206857550828"/>
    <n v="339.15213149701248"/>
    <n v="1.6651086395944059"/>
    <n v="0.2291671178112972"/>
    <n v="23"/>
    <x v="0"/>
  </r>
  <r>
    <d v="2023-09-08T12:00:00"/>
    <n v="29.022151540254661"/>
    <n v="42.572865763730761"/>
    <n v="864.0742571398107"/>
    <n v="1.581904567735595"/>
    <n v="0.38388568683138302"/>
    <n v="12"/>
    <x v="2"/>
  </r>
  <r>
    <d v="2023-05-29T00:00:00"/>
    <n v="22.334774429383621"/>
    <n v="54.498249251683319"/>
    <n v="873.43680017241877"/>
    <n v="4.3576437331518889"/>
    <n v="0.84896461087860475"/>
    <n v="0"/>
    <x v="0"/>
  </r>
  <r>
    <d v="2023-07-11T03:00:00"/>
    <n v="27.733489997148371"/>
    <n v="39.830916475501702"/>
    <n v="113.8103901541357"/>
    <n v="1.0902029867730021"/>
    <n v="0.47394704409846761"/>
    <n v="3"/>
    <x v="0"/>
  </r>
  <r>
    <d v="2023-04-29T01:00:00"/>
    <n v="20.289466930794159"/>
    <n v="52.769658038396457"/>
    <n v="747.64571217836749"/>
    <n v="2.9810294021599222"/>
    <n v="0.54654248302624564"/>
    <n v="1"/>
    <x v="0"/>
  </r>
  <r>
    <d v="2023-01-19T11:00:00"/>
    <n v="20.447242800570201"/>
    <n v="41.131125055822082"/>
    <n v="396.92990232921818"/>
    <n v="1.2909655189277529"/>
    <n v="0.44955374544112092"/>
    <n v="11"/>
    <x v="2"/>
  </r>
  <r>
    <d v="2023-07-03T20:00:00"/>
    <n v="23.93009218386543"/>
    <n v="31.778177096621079"/>
    <n v="927.41260932740545"/>
    <n v="1.5838111790674241"/>
    <n v="0.66759725470758879"/>
    <n v="20"/>
    <x v="0"/>
  </r>
  <r>
    <d v="2023-08-03T11:00:00"/>
    <n v="21.479111457346509"/>
    <n v="46.526650476089458"/>
    <n v="317.90813785575881"/>
    <n v="2.861175854647581"/>
    <n v="1.059231584383898"/>
    <n v="11"/>
    <x v="2"/>
  </r>
  <r>
    <d v="2023-08-26T17:00:00"/>
    <n v="21.661385686436891"/>
    <n v="44.264811508407433"/>
    <n v="401.86282514482821"/>
    <n v="1.8275916645219139"/>
    <n v="1.945559436200103"/>
    <n v="17"/>
    <x v="1"/>
  </r>
  <r>
    <d v="2023-07-20T14:00:00"/>
    <n v="26.27397024816802"/>
    <n v="39.835606382798943"/>
    <n v="772.60248504727417"/>
    <n v="3.5467786058500268"/>
    <n v="1.6047818395649369"/>
    <n v="14"/>
    <x v="1"/>
  </r>
  <r>
    <d v="2023-01-15T23:00:00"/>
    <n v="28.581642688718119"/>
    <n v="51.158873262374883"/>
    <n v="166.6894240618885"/>
    <n v="2.515932165244378"/>
    <n v="0.4277893365742933"/>
    <n v="23"/>
    <x v="0"/>
  </r>
  <r>
    <d v="2023-03-19T17:00:00"/>
    <n v="27.789672417730511"/>
    <n v="45.584912972888183"/>
    <n v="737.23514213400381"/>
    <n v="4.1379189547240092"/>
    <n v="1.6254163117805811"/>
    <n v="17"/>
    <x v="1"/>
  </r>
  <r>
    <d v="2023-11-07T02:00:00"/>
    <n v="23.364938083574241"/>
    <n v="67.997818711920843"/>
    <n v="707.2109413090036"/>
    <n v="3.6315785295992731"/>
    <n v="1.4491767568052241"/>
    <n v="2"/>
    <x v="0"/>
  </r>
  <r>
    <d v="2023-04-22T10:00:00"/>
    <n v="28.752159670234089"/>
    <n v="54.8491649366103"/>
    <n v="373.61948130063058"/>
    <n v="4.9116596446599567"/>
    <n v="1.8210169788069821"/>
    <n v="10"/>
    <x v="2"/>
  </r>
  <r>
    <d v="2023-07-16T02:00:00"/>
    <n v="28.41345920366086"/>
    <n v="44.326165717148157"/>
    <n v="741.49238694157509"/>
    <n v="2.428145591801985"/>
    <n v="0.92594279369640309"/>
    <n v="2"/>
    <x v="0"/>
  </r>
  <r>
    <d v="2023-11-07T09:00:00"/>
    <n v="25.242116968238289"/>
    <n v="38.573467737823293"/>
    <n v="912.63223381318869"/>
    <n v="2.7846145666988669"/>
    <n v="1.7474874968715139"/>
    <n v="9"/>
    <x v="2"/>
  </r>
  <r>
    <d v="2023-06-24T04:00:00"/>
    <n v="24.758760626650279"/>
    <n v="56.604954345774672"/>
    <n v="823.54709868003954"/>
    <n v="3.672793448224041"/>
    <n v="1.4263714798026981"/>
    <n v="4"/>
    <x v="0"/>
  </r>
  <r>
    <d v="2023-05-04T08:00:00"/>
    <n v="20.584624186571268"/>
    <n v="66.805148765934049"/>
    <n v="566.05810838152479"/>
    <n v="2.688326786920221"/>
    <n v="0.61887589461459214"/>
    <n v="8"/>
    <x v="2"/>
  </r>
  <r>
    <d v="2023-08-30T02:00:00"/>
    <n v="21.505250696564289"/>
    <n v="55.084524428953927"/>
    <n v="219.20095186042889"/>
    <n v="1.956227587763554"/>
    <n v="0.84057468213058051"/>
    <n v="2"/>
    <x v="0"/>
  </r>
  <r>
    <d v="2023-03-17T17:00:00"/>
    <n v="20.854131995282469"/>
    <n v="63.175689705752262"/>
    <n v="903.10531013391414"/>
    <n v="1.026708905447443"/>
    <n v="1.6931093203548899"/>
    <n v="17"/>
    <x v="1"/>
  </r>
  <r>
    <d v="2023-05-21T05:00:00"/>
    <n v="25.26772502073614"/>
    <n v="57.369146843918841"/>
    <n v="540.7462714856598"/>
    <n v="2.1024235708062138"/>
    <n v="1.634653331636382"/>
    <n v="5"/>
    <x v="0"/>
  </r>
  <r>
    <d v="2023-01-01T23:00:00"/>
    <n v="26.76638496232259"/>
    <n v="67.88726018033924"/>
    <n v="467.08977632585601"/>
    <n v="4.4567864846127279"/>
    <n v="0.5664613481649674"/>
    <n v="23"/>
    <x v="0"/>
  </r>
  <r>
    <d v="2023-09-30T11:00:00"/>
    <n v="26.187820104468489"/>
    <n v="46.288356244319772"/>
    <n v="592.9778607124473"/>
    <n v="3.3581564374853361"/>
    <n v="1.688920392170616"/>
    <n v="11"/>
    <x v="2"/>
  </r>
  <r>
    <d v="2023-08-31T22:00:00"/>
    <n v="28.728852436308021"/>
    <n v="60.909009926365897"/>
    <n v="292.19286311880393"/>
    <n v="1.0186007605500129"/>
    <n v="1.8969384367118689"/>
    <n v="22"/>
    <x v="0"/>
  </r>
  <r>
    <d v="2023-06-22T07:00:00"/>
    <n v="26.587024039381468"/>
    <n v="50.367438748870818"/>
    <n v="402.57204202054089"/>
    <n v="4.1517092708478511"/>
    <n v="1.767761971392217"/>
    <n v="7"/>
    <x v="2"/>
  </r>
  <r>
    <d v="2023-09-23T20:00:00"/>
    <n v="28.29707691015571"/>
    <n v="31.97965868622514"/>
    <n v="761.95498873958047"/>
    <n v="1.0624466194180899"/>
    <n v="0.82444725265468155"/>
    <n v="20"/>
    <x v="0"/>
  </r>
  <r>
    <d v="2023-02-18T15:00:00"/>
    <n v="21.40425184573694"/>
    <n v="30.530489610143089"/>
    <n v="607.12694386035855"/>
    <n v="4.8126785750245613"/>
    <n v="1.128207411601126"/>
    <n v="15"/>
    <x v="1"/>
  </r>
  <r>
    <d v="2023-06-17T19:00:00"/>
    <n v="21.71648074612219"/>
    <n v="47.00493860099229"/>
    <n v="786.05096968343855"/>
    <n v="3.0552390796476319"/>
    <n v="1.7073252203728491"/>
    <n v="19"/>
    <x v="0"/>
  </r>
  <r>
    <d v="2023-05-20T07:00:00"/>
    <n v="29.18412277718063"/>
    <n v="56.398975619571253"/>
    <n v="785.76814183777844"/>
    <n v="4.6323677902168674"/>
    <n v="1.4611608123346831"/>
    <n v="7"/>
    <x v="2"/>
  </r>
  <r>
    <d v="2023-04-30T02:00:00"/>
    <n v="23.54704681979317"/>
    <n v="64.53090149545703"/>
    <n v="778.2214586418612"/>
    <n v="4.5437029615223423"/>
    <n v="1.4472993862435011"/>
    <n v="2"/>
    <x v="0"/>
  </r>
  <r>
    <d v="2023-05-01T04:00:00"/>
    <n v="22.169987667457441"/>
    <n v="31.30492638903868"/>
    <n v="229.76975678723949"/>
    <n v="4.5410668334215547"/>
    <n v="0.64197777609806528"/>
    <n v="4"/>
    <x v="0"/>
  </r>
  <r>
    <d v="2023-04-14T15:00:00"/>
    <n v="29.120692352914251"/>
    <n v="67.673764053021159"/>
    <n v="685.18130603389739"/>
    <n v="2.5032088746562229"/>
    <n v="1.2605235908872841"/>
    <n v="15"/>
    <x v="1"/>
  </r>
  <r>
    <d v="2023-08-10T03:00:00"/>
    <n v="29.70104524388832"/>
    <n v="65.390420479551096"/>
    <n v="532.16193256152246"/>
    <n v="1.743513141465052"/>
    <n v="0.20347611992299919"/>
    <n v="3"/>
    <x v="0"/>
  </r>
  <r>
    <d v="2023-05-29T07:00:00"/>
    <n v="26.37769645865087"/>
    <n v="64.944688183917151"/>
    <n v="155.88185709233849"/>
    <n v="2.4047640232475511"/>
    <n v="0.66458005916743812"/>
    <n v="7"/>
    <x v="2"/>
  </r>
  <r>
    <d v="2023-08-24T18:00:00"/>
    <n v="23.883386011114009"/>
    <n v="55.706791238458088"/>
    <n v="851.54840426065948"/>
    <n v="1.537106412118622"/>
    <n v="0.48529884576223092"/>
    <n v="18"/>
    <x v="1"/>
  </r>
  <r>
    <d v="2023-11-07T02:00:00"/>
    <n v="26.883857553986221"/>
    <n v="48.666322493237267"/>
    <n v="297.74365718701881"/>
    <n v="4.3375693094933938"/>
    <n v="0.83532769116400429"/>
    <n v="2"/>
    <x v="0"/>
  </r>
  <r>
    <d v="2023-08-01T09:00:00"/>
    <n v="20.1555787690281"/>
    <n v="62.159757761406382"/>
    <n v="111.64624953666321"/>
    <n v="3.2743613969441139"/>
    <n v="1.502636213870967"/>
    <n v="9"/>
    <x v="2"/>
  </r>
  <r>
    <d v="2023-11-07T04:00:00"/>
    <n v="21.44712286781763"/>
    <n v="38.246967968592699"/>
    <n v="679.09319781126544"/>
    <n v="1.9943295588055809"/>
    <n v="0.59502814276866878"/>
    <n v="4"/>
    <x v="0"/>
  </r>
  <r>
    <d v="2023-06-01T05:00:00"/>
    <n v="23.687144441173569"/>
    <n v="41.691662957528351"/>
    <n v="254.89478101095969"/>
    <n v="4.2799302787249101"/>
    <n v="0.43993867349085303"/>
    <n v="5"/>
    <x v="0"/>
  </r>
  <r>
    <d v="2023-05-28T00:00:00"/>
    <n v="28.322245014132779"/>
    <n v="36.907731997821472"/>
    <n v="155.5360055478161"/>
    <n v="2.843542146953578"/>
    <n v="1.699867783112575"/>
    <n v="0"/>
    <x v="0"/>
  </r>
  <r>
    <d v="2023-08-02T10:00:00"/>
    <n v="23.043159063715759"/>
    <n v="69.919272483784226"/>
    <n v="940.39384305677345"/>
    <n v="1.0435178848354469"/>
    <n v="1.838686131498166"/>
    <n v="10"/>
    <x v="2"/>
  </r>
  <r>
    <d v="2023-11-06T11:00:00"/>
    <n v="20.578718917488761"/>
    <n v="37.687251350571429"/>
    <n v="233.63073891166491"/>
    <n v="1.613187012441059"/>
    <n v="0.94781153302599797"/>
    <n v="11"/>
    <x v="2"/>
  </r>
  <r>
    <d v="2023-06-10T00:00:00"/>
    <n v="23.787352733338839"/>
    <n v="58.03003674496879"/>
    <n v="568.04439847531955"/>
    <n v="2.6870250419516171"/>
    <n v="0.56454576652610122"/>
    <n v="0"/>
    <x v="0"/>
  </r>
  <r>
    <d v="2023-08-22T19:00:00"/>
    <n v="22.412541524818192"/>
    <n v="48.482890788276151"/>
    <n v="430.56936235780449"/>
    <n v="1.310445436445159"/>
    <n v="0.57949521342459953"/>
    <n v="19"/>
    <x v="0"/>
  </r>
  <r>
    <d v="2023-12-07T08:00:00"/>
    <n v="20.560599380707529"/>
    <n v="31.331811397099031"/>
    <n v="140.26653804910319"/>
    <n v="3.5733979712503432"/>
    <n v="0.8907417867065982"/>
    <n v="8"/>
    <x v="2"/>
  </r>
  <r>
    <d v="2023-02-14T18:00:00"/>
    <n v="23.98924257547252"/>
    <n v="33.250541465535392"/>
    <n v="382.91839188566348"/>
    <n v="1.7893054444495231"/>
    <n v="1.624641581381943"/>
    <n v="18"/>
    <x v="1"/>
  </r>
  <r>
    <d v="2023-03-03T09:00:00"/>
    <n v="23.514213919401019"/>
    <n v="67.177134578278981"/>
    <n v="415.42334798994222"/>
    <n v="3.376443758054485"/>
    <n v="1.1668151935903031"/>
    <n v="9"/>
    <x v="2"/>
  </r>
  <r>
    <d v="2023-12-31T11:00:00"/>
    <n v="27.338399809392111"/>
    <n v="59.781707503393193"/>
    <n v="544.09391828075695"/>
    <n v="1.037669471003339"/>
    <n v="1.196938299032968"/>
    <n v="11"/>
    <x v="2"/>
  </r>
  <r>
    <d v="2023-05-07T20:00:00"/>
    <n v="20.63204821216916"/>
    <n v="51.840391396265353"/>
    <n v="736.06111705054298"/>
    <n v="1.579202673690123"/>
    <n v="1.9584988997117949"/>
    <n v="20"/>
    <x v="0"/>
  </r>
  <r>
    <d v="2023-04-21T11:00:00"/>
    <n v="23.790544462239112"/>
    <n v="38.378592101150559"/>
    <n v="999.98015660265048"/>
    <n v="2.3037250404976359"/>
    <n v="0.24758287403771659"/>
    <n v="11"/>
    <x v="2"/>
  </r>
  <r>
    <d v="2023-05-31T00:00:00"/>
    <n v="23.424335228146472"/>
    <n v="30.254245578033839"/>
    <n v="566.71414304378368"/>
    <n v="1.350727847294233"/>
    <n v="1.0025254472906879"/>
    <n v="0"/>
    <x v="0"/>
  </r>
  <r>
    <d v="2023-03-31T08:00:00"/>
    <n v="26.468215249343469"/>
    <n v="60.905996688470218"/>
    <n v="948.47780530883733"/>
    <n v="4.9341287832811949"/>
    <n v="1.0108643607196039"/>
    <n v="8"/>
    <x v="2"/>
  </r>
  <r>
    <d v="2023-01-20T19:00:00"/>
    <n v="28.879207710432819"/>
    <n v="42.491944683032571"/>
    <n v="574.70587607332538"/>
    <n v="1.9280690861122329"/>
    <n v="1.1525505539606711"/>
    <n v="19"/>
    <x v="0"/>
  </r>
  <r>
    <d v="2023-05-11T20:00:00"/>
    <n v="21.429897901276611"/>
    <n v="38.561623186803757"/>
    <n v="634.31408582450661"/>
    <n v="4.5947405344093681"/>
    <n v="0.41908645098943648"/>
    <n v="20"/>
    <x v="0"/>
  </r>
  <r>
    <d v="2023-06-20T15:00:00"/>
    <n v="28.162537513998242"/>
    <n v="36.892461084865168"/>
    <n v="225.16032623414631"/>
    <n v="3.7454729743304882"/>
    <n v="0.42095208195813483"/>
    <n v="15"/>
    <x v="1"/>
  </r>
  <r>
    <d v="2023-01-12T10:00:00"/>
    <n v="26.097234027512659"/>
    <n v="62.351855391257338"/>
    <n v="613.7432176574556"/>
    <n v="4.8342644430178137"/>
    <n v="0.88935226580654558"/>
    <n v="10"/>
    <x v="2"/>
  </r>
  <r>
    <d v="2023-10-12T16:00:00"/>
    <n v="20.292426940139759"/>
    <n v="54.825316247520213"/>
    <n v="334.50581586909419"/>
    <n v="4.6419824758500692"/>
    <n v="1.251812786953806"/>
    <n v="16"/>
    <x v="1"/>
  </r>
  <r>
    <d v="2023-05-29T16:00:00"/>
    <n v="27.668886791662441"/>
    <n v="55.652031122438473"/>
    <n v="346.64358411298889"/>
    <n v="4.5146444803890082"/>
    <n v="0.67532479756478025"/>
    <n v="16"/>
    <x v="1"/>
  </r>
  <r>
    <d v="2023-11-01T04:00:00"/>
    <n v="25.376880330339262"/>
    <n v="67.01749037950475"/>
    <n v="490.48989054904263"/>
    <n v="3.3110929468173871"/>
    <n v="1.0452864878212209"/>
    <n v="4"/>
    <x v="0"/>
  </r>
  <r>
    <d v="2023-06-05T14:00:00"/>
    <n v="27.99928824580125"/>
    <n v="65.671961743177775"/>
    <n v="688.36444110467255"/>
    <n v="4.8585696561340859"/>
    <n v="1.9748388212306101"/>
    <n v="14"/>
    <x v="1"/>
  </r>
  <r>
    <d v="2023-03-29T09:00:00"/>
    <n v="24.088680328694469"/>
    <n v="57.218449394293359"/>
    <n v="655.59674765767966"/>
    <n v="1.7232803308786171"/>
    <n v="0.15781893304067129"/>
    <n v="9"/>
    <x v="2"/>
  </r>
  <r>
    <d v="2023-12-03T02:00:00"/>
    <n v="26.655027937880519"/>
    <n v="68.44107749437913"/>
    <n v="375.64808423094593"/>
    <n v="2.8167689888595282"/>
    <n v="0.9851478430684526"/>
    <n v="2"/>
    <x v="0"/>
  </r>
  <r>
    <d v="2023-05-15T15:00:00"/>
    <n v="21.988042053855381"/>
    <n v="39.158440324652787"/>
    <n v="125.8764597436268"/>
    <n v="4.1245060176188266"/>
    <n v="1.0004189249509119"/>
    <n v="15"/>
    <x v="1"/>
  </r>
  <r>
    <d v="2023-11-02T10:00:00"/>
    <n v="21.91844574747989"/>
    <n v="30.784089322477261"/>
    <n v="319.64192211130859"/>
    <n v="2.934047390429968"/>
    <n v="1.414432138569037"/>
    <n v="10"/>
    <x v="2"/>
  </r>
  <r>
    <d v="2023-06-06T12:00:00"/>
    <n v="23.40262408125615"/>
    <n v="66.868271117110055"/>
    <n v="507.54794305346138"/>
    <n v="4.9776895662847149"/>
    <n v="0.60616021904609108"/>
    <n v="12"/>
    <x v="2"/>
  </r>
  <r>
    <d v="2023-11-11T02:00:00"/>
    <n v="25.194405063277149"/>
    <n v="40.573119030003262"/>
    <n v="918.5638842930415"/>
    <n v="3.932592999325951"/>
    <n v="1.6198747281916881"/>
    <n v="2"/>
    <x v="0"/>
  </r>
  <r>
    <d v="2023-05-21T22:00:00"/>
    <n v="27.165267905793272"/>
    <n v="68.924118686897685"/>
    <n v="649.32656412419624"/>
    <n v="1.825421777615954"/>
    <n v="0.86188749805032283"/>
    <n v="22"/>
    <x v="0"/>
  </r>
  <r>
    <d v="2023-05-27T04:00:00"/>
    <n v="26.668048227723279"/>
    <n v="38.961562354166688"/>
    <n v="889.7571321888322"/>
    <n v="4.2455825766158082"/>
    <n v="0.28080854597576949"/>
    <n v="4"/>
    <x v="0"/>
  </r>
  <r>
    <d v="2023-12-05T07:00:00"/>
    <n v="28.21344563168352"/>
    <n v="41.138383815613352"/>
    <n v="634.62469884417658"/>
    <n v="4.5498473942600999"/>
    <n v="1.2971149482177211"/>
    <n v="7"/>
    <x v="2"/>
  </r>
  <r>
    <d v="2023-12-30T22:00:00"/>
    <n v="24.26396915783079"/>
    <n v="66.377992911001542"/>
    <n v="498.8506924008459"/>
    <n v="3.1576686515344941"/>
    <n v="0.1501469743590684"/>
    <n v="22"/>
    <x v="0"/>
  </r>
  <r>
    <d v="2023-09-07T11:00:00"/>
    <n v="29.12529254445835"/>
    <n v="62.506206310699703"/>
    <n v="395.72362789270949"/>
    <n v="4.9621607571763633"/>
    <n v="1.46192416789399"/>
    <n v="11"/>
    <x v="2"/>
  </r>
  <r>
    <d v="2023-04-22T14:00:00"/>
    <n v="21.091677241002252"/>
    <n v="33.895649034637991"/>
    <n v="973.08389072983402"/>
    <n v="3.143613875189939"/>
    <n v="0.12306656574506"/>
    <n v="14"/>
    <x v="1"/>
  </r>
  <r>
    <d v="2023-04-11T18:00:00"/>
    <n v="21.87203308804407"/>
    <n v="53.01884994110241"/>
    <n v="530.42383859787947"/>
    <n v="4.0925241125856733"/>
    <n v="1.2336733844836041"/>
    <n v="18"/>
    <x v="1"/>
  </r>
  <r>
    <d v="2023-12-07T01:00:00"/>
    <n v="26.83717575289948"/>
    <n v="36.310064248939923"/>
    <n v="423.32201931417211"/>
    <n v="2.2961145454056089"/>
    <n v="1.754694761025035"/>
    <n v="1"/>
    <x v="0"/>
  </r>
  <r>
    <d v="2023-12-01T11:00:00"/>
    <n v="22.537726800621741"/>
    <n v="32.866863010983799"/>
    <n v="916.95537791538516"/>
    <n v="1.955319804610967"/>
    <n v="1.4269760117976931"/>
    <n v="11"/>
    <x v="2"/>
  </r>
  <r>
    <d v="2023-12-07T16:00:00"/>
    <n v="21.645905462034211"/>
    <n v="54.495273152186108"/>
    <n v="830.67792320216381"/>
    <n v="4.1350419032203138"/>
    <n v="1.2862531340041361"/>
    <n v="16"/>
    <x v="1"/>
  </r>
  <r>
    <d v="2023-07-02T05:00:00"/>
    <n v="28.864937449328568"/>
    <n v="33.122100813996937"/>
    <n v="629.86552435997248"/>
    <n v="1.771882231470824"/>
    <n v="0.92040313804595197"/>
    <n v="5"/>
    <x v="0"/>
  </r>
  <r>
    <d v="2023-04-12T00:00:00"/>
    <n v="20.684008464821609"/>
    <n v="48.875799434241628"/>
    <n v="609.45781094401525"/>
    <n v="2.1357194800318502"/>
    <n v="0.73877148212283927"/>
    <n v="0"/>
    <x v="0"/>
  </r>
  <r>
    <d v="2023-09-06T22:00:00"/>
    <n v="29.914711074357118"/>
    <n v="54.580510450415048"/>
    <n v="547.6155566206711"/>
    <n v="2.472861337072974"/>
    <n v="0.8035614897939406"/>
    <n v="22"/>
    <x v="0"/>
  </r>
  <r>
    <d v="2023-10-20T00:00:00"/>
    <n v="28.625893113701071"/>
    <n v="67.5641068678392"/>
    <n v="186.68588702125501"/>
    <n v="3.498028556938559"/>
    <n v="0.81255019796531525"/>
    <n v="0"/>
    <x v="0"/>
  </r>
  <r>
    <d v="2023-02-27T04:00:00"/>
    <n v="28.682577473523029"/>
    <n v="66.850887963835845"/>
    <n v="718.747493199264"/>
    <n v="2.3689451454528658"/>
    <n v="1.106778895916245"/>
    <n v="4"/>
    <x v="0"/>
  </r>
  <r>
    <d v="2023-10-30T14:00:00"/>
    <n v="26.287130625457749"/>
    <n v="54.298298179536388"/>
    <n v="437.98018342731291"/>
    <n v="2.2837010563722702"/>
    <n v="0.37232715402733901"/>
    <n v="14"/>
    <x v="1"/>
  </r>
  <r>
    <d v="2023-07-02T17:00:00"/>
    <n v="22.248556798349441"/>
    <n v="50.108500764421073"/>
    <n v="115.32004874672261"/>
    <n v="2.7722573304756399"/>
    <n v="1.775575676754434"/>
    <n v="17"/>
    <x v="1"/>
  </r>
  <r>
    <d v="2023-03-06T15:00:00"/>
    <n v="27.98091554727219"/>
    <n v="56.015647290127447"/>
    <n v="753.45011852743858"/>
    <n v="2.7991279193119198"/>
    <n v="1.289163534180668"/>
    <n v="15"/>
    <x v="1"/>
  </r>
  <r>
    <d v="2023-04-20T08:00:00"/>
    <n v="20.53800565174307"/>
    <n v="66.998619713240402"/>
    <n v="216.3763112263542"/>
    <n v="1.083867081511406"/>
    <n v="0.81142883287528511"/>
    <n v="8"/>
    <x v="2"/>
  </r>
  <r>
    <d v="2023-05-26T08:00:00"/>
    <n v="25.821153449478452"/>
    <n v="69.637616795362703"/>
    <n v="818.12497678625436"/>
    <n v="2.265905546914869"/>
    <n v="1.966203111817598"/>
    <n v="8"/>
    <x v="2"/>
  </r>
  <r>
    <d v="2023-05-23T12:00:00"/>
    <n v="24.39159635138202"/>
    <n v="31.323613316376662"/>
    <n v="333.60901862896299"/>
    <n v="2.8786500388267471"/>
    <n v="1.757802319588033"/>
    <n v="12"/>
    <x v="2"/>
  </r>
  <r>
    <d v="2023-10-23T11:00:00"/>
    <n v="27.504068319797629"/>
    <n v="68.782083550546062"/>
    <n v="627.76685920613136"/>
    <n v="1.941955014655345"/>
    <n v="1.252950760117111"/>
    <n v="11"/>
    <x v="2"/>
  </r>
  <r>
    <d v="2023-05-21T18:00:00"/>
    <n v="20.237681321961009"/>
    <n v="62.12743917761685"/>
    <n v="612.78770711139941"/>
    <n v="2.9080165951953738"/>
    <n v="0.80632275506172368"/>
    <n v="18"/>
    <x v="1"/>
  </r>
  <r>
    <d v="2023-08-05T17:00:00"/>
    <n v="23.8678550374674"/>
    <n v="33.000193592091037"/>
    <n v="259.18316078592511"/>
    <n v="3.2771546196828401"/>
    <n v="0.80127832639780028"/>
    <n v="17"/>
    <x v="1"/>
  </r>
  <r>
    <d v="2023-08-17T11:00:00"/>
    <n v="24.770944015274939"/>
    <n v="62.00671513635649"/>
    <n v="495.13361492976833"/>
    <n v="4.3580734878881833"/>
    <n v="0.22674278006703619"/>
    <n v="11"/>
    <x v="2"/>
  </r>
  <r>
    <d v="2023-10-06T02:00:00"/>
    <n v="21.523592254775551"/>
    <n v="56.505316413746698"/>
    <n v="837.13390084032676"/>
    <n v="4.0989853008467918"/>
    <n v="0.7507898444954606"/>
    <n v="2"/>
    <x v="0"/>
  </r>
  <r>
    <d v="2023-10-08T15:00:00"/>
    <n v="24.147201867834479"/>
    <n v="66.229517654303237"/>
    <n v="974.78174853054338"/>
    <n v="2.0265138909196709"/>
    <n v="0.56680003402310497"/>
    <n v="15"/>
    <x v="1"/>
  </r>
  <r>
    <d v="2023-01-25T21:00:00"/>
    <n v="29.104776860613239"/>
    <n v="48.311891266906088"/>
    <n v="116.3485781861735"/>
    <n v="1.514893316356785"/>
    <n v="1.2562471323042901"/>
    <n v="21"/>
    <x v="0"/>
  </r>
  <r>
    <d v="2023-07-04T05:00:00"/>
    <n v="24.686342241950221"/>
    <n v="50.133538519124038"/>
    <n v="231.988764711513"/>
    <n v="1.00518820126776"/>
    <n v="1.468310622566857"/>
    <n v="5"/>
    <x v="0"/>
  </r>
  <r>
    <d v="2023-09-24T09:00:00"/>
    <n v="22.517761776166669"/>
    <n v="63.492532480427897"/>
    <n v="655.69561414556892"/>
    <n v="2.5944760838048748"/>
    <n v="0.65560714008624876"/>
    <n v="9"/>
    <x v="2"/>
  </r>
  <r>
    <d v="2023-02-27T18:00:00"/>
    <n v="25.323350610316758"/>
    <n v="49.351511780771489"/>
    <n v="102.2617956745585"/>
    <n v="4.4214600794318546"/>
    <n v="1.137680248895762"/>
    <n v="18"/>
    <x v="1"/>
  </r>
  <r>
    <d v="2023-02-07T09:00:00"/>
    <n v="20.608424345838781"/>
    <n v="51.054716055212879"/>
    <n v="782.19101568911071"/>
    <n v="1.645571583568203"/>
    <n v="1.595451322011046"/>
    <n v="9"/>
    <x v="2"/>
  </r>
  <r>
    <d v="2023-06-05T11:00:00"/>
    <n v="22.942685427636739"/>
    <n v="39.774355159838073"/>
    <n v="624.71161790570739"/>
    <n v="2.146878503320965"/>
    <n v="1.3196172395151551"/>
    <n v="11"/>
    <x v="2"/>
  </r>
  <r>
    <d v="2023-09-19T17:00:00"/>
    <n v="27.836367416903389"/>
    <n v="43.216900482565208"/>
    <n v="705.57808603735987"/>
    <n v="3.1728109049006079"/>
    <n v="1.5129564937636559"/>
    <n v="17"/>
    <x v="1"/>
  </r>
  <r>
    <d v="2023-04-14T10:00:00"/>
    <n v="26.419142502462531"/>
    <n v="41.505935015315643"/>
    <n v="661.81680474970028"/>
    <n v="3.3752730180572939"/>
    <n v="0.51435140667303703"/>
    <n v="10"/>
    <x v="2"/>
  </r>
  <r>
    <d v="2023-09-10T18:00:00"/>
    <n v="20.2398485158771"/>
    <n v="31.826528714666569"/>
    <n v="639.11241093735362"/>
    <n v="3.1889049300468941"/>
    <n v="1.3065947967381371"/>
    <n v="18"/>
    <x v="1"/>
  </r>
  <r>
    <d v="2023-09-13T16:00:00"/>
    <n v="25.698759987051812"/>
    <n v="53.321351590409421"/>
    <n v="192.1711532564097"/>
    <n v="1.0101449085853209"/>
    <n v="0.62019019487337568"/>
    <n v="16"/>
    <x v="1"/>
  </r>
  <r>
    <d v="2023-01-08T10:00:00"/>
    <n v="22.173400804434419"/>
    <n v="63.706060153697649"/>
    <n v="311.70227336919442"/>
    <n v="4.0828670878136748"/>
    <n v="0.53842611773661508"/>
    <n v="10"/>
    <x v="2"/>
  </r>
  <r>
    <d v="2023-12-05T10:00:00"/>
    <n v="29.75749815828577"/>
    <n v="60.812506139926782"/>
    <n v="517.52569811378521"/>
    <n v="4.6012097900904649"/>
    <n v="0.61478083039199705"/>
    <n v="10"/>
    <x v="2"/>
  </r>
  <r>
    <d v="2023-10-02T02:00:00"/>
    <n v="27.836869956934539"/>
    <n v="39.863425582630853"/>
    <n v="400.95144638307681"/>
    <n v="2.0111154571413978"/>
    <n v="0.7963984718968663"/>
    <n v="2"/>
    <x v="0"/>
  </r>
  <r>
    <d v="2023-11-14T17:00:00"/>
    <n v="21.279080992277041"/>
    <n v="53.452387560665493"/>
    <n v="804.75447429340818"/>
    <n v="1.532865006864228"/>
    <n v="0.99478679142211413"/>
    <n v="17"/>
    <x v="1"/>
  </r>
  <r>
    <d v="2023-05-12T16:00:00"/>
    <n v="23.855456776809952"/>
    <n v="49.617226252744871"/>
    <n v="707.74570129011613"/>
    <n v="4.0738632651572546"/>
    <n v="0.53559674088152998"/>
    <n v="16"/>
    <x v="1"/>
  </r>
  <r>
    <d v="2023-06-15T16:00:00"/>
    <n v="24.8996963150467"/>
    <n v="62.662156917663559"/>
    <n v="380.32333878405171"/>
    <n v="3.9201307896463748"/>
    <n v="0.76493064105437303"/>
    <n v="16"/>
    <x v="1"/>
  </r>
  <r>
    <d v="2023-11-11T07:00:00"/>
    <n v="21.823717137922252"/>
    <n v="44.139196924177227"/>
    <n v="955.9803141421603"/>
    <n v="4.1721949826591933"/>
    <n v="1.803343758715894"/>
    <n v="7"/>
    <x v="2"/>
  </r>
  <r>
    <d v="2023-05-29T19:00:00"/>
    <n v="27.042838534638229"/>
    <n v="31.46387804287134"/>
    <n v="679.81774219433271"/>
    <n v="4.6757759159490213"/>
    <n v="0.35579112429040483"/>
    <n v="19"/>
    <x v="0"/>
  </r>
  <r>
    <d v="2023-06-14T02:00:00"/>
    <n v="28.413787602688139"/>
    <n v="65.491032480810119"/>
    <n v="861.96265044034806"/>
    <n v="1.1769631782377521"/>
    <n v="0.50987571398361375"/>
    <n v="2"/>
    <x v="0"/>
  </r>
  <r>
    <d v="2023-04-12T14:00:00"/>
    <n v="20.044645953895639"/>
    <n v="56.811217123283967"/>
    <n v="914.12675908569179"/>
    <n v="3.148132917212449"/>
    <n v="0.2153161165911508"/>
    <n v="14"/>
    <x v="1"/>
  </r>
  <r>
    <d v="2023-04-22T06:00:00"/>
    <n v="21.332233881348738"/>
    <n v="37.274338411671117"/>
    <n v="277.86993074134273"/>
    <n v="4.1562954772246226"/>
    <n v="1.4468741465273911"/>
    <n v="6"/>
    <x v="2"/>
  </r>
  <r>
    <d v="2023-01-25T10:00:00"/>
    <n v="22.83462839154355"/>
    <n v="38.228166313715583"/>
    <n v="457.9580742668619"/>
    <n v="3.004936101401535"/>
    <n v="1.1058803561651951"/>
    <n v="10"/>
    <x v="2"/>
  </r>
  <r>
    <d v="2023-12-12T17:00:00"/>
    <n v="29.841102276547829"/>
    <n v="45.9279941983364"/>
    <n v="154.87206139744501"/>
    <n v="3.2085691581541949"/>
    <n v="1.001208647323359"/>
    <n v="17"/>
    <x v="1"/>
  </r>
  <r>
    <d v="2023-08-17T23:00:00"/>
    <n v="24.04527878500166"/>
    <n v="49.055529353523923"/>
    <n v="233.03902815982241"/>
    <n v="3.2664924927395238"/>
    <n v="0.16538883391544529"/>
    <n v="23"/>
    <x v="0"/>
  </r>
  <r>
    <d v="2023-04-22T04:00:00"/>
    <n v="21.702519629762531"/>
    <n v="43.212005647577577"/>
    <n v="628.71961642954466"/>
    <n v="1.041558212660942"/>
    <n v="1.9265510644764809"/>
    <n v="4"/>
    <x v="0"/>
  </r>
  <r>
    <d v="2023-11-20T08:00:00"/>
    <n v="21.209271179720531"/>
    <n v="50.626818059903677"/>
    <n v="565.41988386630283"/>
    <n v="4.6171541385796342"/>
    <n v="1.703746992872804"/>
    <n v="8"/>
    <x v="2"/>
  </r>
  <r>
    <d v="2023-08-28T07:00:00"/>
    <n v="29.01356163685757"/>
    <n v="65.698010007891426"/>
    <n v="493.77109784723109"/>
    <n v="1.843150704702917"/>
    <n v="1.658710805423558"/>
    <n v="7"/>
    <x v="2"/>
  </r>
  <r>
    <d v="2023-07-17T16:00:00"/>
    <n v="28.102440844424841"/>
    <n v="55.198428299185011"/>
    <n v="745.26615070288267"/>
    <n v="1.1018323910524579"/>
    <n v="1.762913203521205"/>
    <n v="16"/>
    <x v="1"/>
  </r>
  <r>
    <d v="2023-12-03T08:00:00"/>
    <n v="26.193006073063309"/>
    <n v="44.781166004082017"/>
    <n v="339.31589851418551"/>
    <n v="3.5337557232714718"/>
    <n v="1.576347805764023"/>
    <n v="8"/>
    <x v="2"/>
  </r>
  <r>
    <d v="2023-12-01T08:00:00"/>
    <n v="25.39695657069359"/>
    <n v="64.41772320765854"/>
    <n v="473.00238767821622"/>
    <n v="3.240695974562271"/>
    <n v="0.36493137800643688"/>
    <n v="8"/>
    <x v="2"/>
  </r>
  <r>
    <d v="2023-01-06T10:00:00"/>
    <n v="27.771537615303661"/>
    <n v="57.828922039007232"/>
    <n v="944.39464363964794"/>
    <n v="1.5110370837175719"/>
    <n v="1.945835618859505"/>
    <n v="10"/>
    <x v="2"/>
  </r>
  <r>
    <d v="2023-05-07T21:00:00"/>
    <n v="23.181505383036669"/>
    <n v="53.748953931107202"/>
    <n v="610.38130271962109"/>
    <n v="4.9931787851628346"/>
    <n v="1.874065098586303"/>
    <n v="21"/>
    <x v="0"/>
  </r>
  <r>
    <d v="2023-06-10T18:00:00"/>
    <n v="26.398546571412972"/>
    <n v="50.660726622733208"/>
    <n v="713.29014917317966"/>
    <n v="2.5659798044237672"/>
    <n v="1.4225465116200491"/>
    <n v="18"/>
    <x v="1"/>
  </r>
  <r>
    <d v="2023-05-20T19:00:00"/>
    <n v="27.368454413919679"/>
    <n v="33.513481993111768"/>
    <n v="770.94745176125195"/>
    <n v="2.0639764618130552"/>
    <n v="0.65482028540334436"/>
    <n v="19"/>
    <x v="0"/>
  </r>
  <r>
    <d v="2023-06-24T21:00:00"/>
    <n v="25.756487262436782"/>
    <n v="53.717405503084592"/>
    <n v="502.04290922121061"/>
    <n v="1.4047876145571689"/>
    <n v="0.10211110594216451"/>
    <n v="21"/>
    <x v="0"/>
  </r>
  <r>
    <d v="2023-01-31T19:00:00"/>
    <n v="21.687319534854741"/>
    <n v="45.930371120182251"/>
    <n v="487.72850852459698"/>
    <n v="3.1381491229666572"/>
    <n v="1.0231373618861019"/>
    <n v="19"/>
    <x v="0"/>
  </r>
  <r>
    <d v="2023-10-17T10:00:00"/>
    <n v="29.859047964010809"/>
    <n v="52.013161769189438"/>
    <n v="523.1839035375051"/>
    <n v="1.6571026690387789"/>
    <n v="1.230126597820749"/>
    <n v="10"/>
    <x v="2"/>
  </r>
  <r>
    <d v="2023-02-06T06:00:00"/>
    <n v="28.111955617155299"/>
    <n v="34.962600834194077"/>
    <n v="875.81772964467871"/>
    <n v="1.5827016982712609"/>
    <n v="1.9885645140088499"/>
    <n v="6"/>
    <x v="2"/>
  </r>
  <r>
    <d v="2023-12-17T05:00:00"/>
    <n v="24.906269432401"/>
    <n v="61.44710225380102"/>
    <n v="427.25405405871442"/>
    <n v="3.9100325975825569"/>
    <n v="0.35253857039446179"/>
    <n v="5"/>
    <x v="0"/>
  </r>
  <r>
    <d v="2023-07-19T05:00:00"/>
    <n v="26.199701755815859"/>
    <n v="50.478241857300162"/>
    <n v="896.7538572607267"/>
    <n v="1.267442699480023"/>
    <n v="0.26875818523630562"/>
    <n v="5"/>
    <x v="0"/>
  </r>
  <r>
    <d v="2023-08-01T08:00:00"/>
    <n v="27.600759906649841"/>
    <n v="63.237222299503983"/>
    <n v="136.82514916256639"/>
    <n v="3.8526071923363419"/>
    <n v="0.91000503220615547"/>
    <n v="8"/>
    <x v="2"/>
  </r>
  <r>
    <d v="2023-01-03T17:00:00"/>
    <n v="24.585851836596071"/>
    <n v="38.272490384798751"/>
    <n v="327.55164388789387"/>
    <n v="1.2785810193878779"/>
    <n v="1.526816822307798"/>
    <n v="17"/>
    <x v="1"/>
  </r>
  <r>
    <d v="2023-10-17T04:00:00"/>
    <n v="27.391162048767509"/>
    <n v="67.523366438216215"/>
    <n v="907.6499360583307"/>
    <n v="2.5772542841293169"/>
    <n v="0.74613362606585698"/>
    <n v="4"/>
    <x v="0"/>
  </r>
  <r>
    <d v="2023-05-07T16:00:00"/>
    <n v="27.729278978334481"/>
    <n v="53.12738773388714"/>
    <n v="939.4938889334021"/>
    <n v="1.499754059676472"/>
    <n v="1.3584844801128499"/>
    <n v="16"/>
    <x v="1"/>
  </r>
  <r>
    <d v="2023-06-16T09:00:00"/>
    <n v="24.590073895223892"/>
    <n v="33.02742822750789"/>
    <n v="286.90742673787389"/>
    <n v="4.9386348279223462"/>
    <n v="1.7899329345417061"/>
    <n v="9"/>
    <x v="2"/>
  </r>
  <r>
    <d v="2023-04-23T14:00:00"/>
    <n v="21.877681278218489"/>
    <n v="42.548706821259437"/>
    <n v="295.44378730743063"/>
    <n v="1.9449827406485549"/>
    <n v="1.607007783096366"/>
    <n v="14"/>
    <x v="1"/>
  </r>
  <r>
    <d v="2023-12-23T07:00:00"/>
    <n v="25.977670787061552"/>
    <n v="69.307396301454432"/>
    <n v="778.82132133465245"/>
    <n v="2.4578488942340582"/>
    <n v="0.29303213119564869"/>
    <n v="7"/>
    <x v="2"/>
  </r>
  <r>
    <d v="2023-04-16T13:00:00"/>
    <n v="25.542888392884699"/>
    <n v="54.533364775459958"/>
    <n v="425.3188954787031"/>
    <n v="1.845324744053249"/>
    <n v="0.94754312157170695"/>
    <n v="13"/>
    <x v="1"/>
  </r>
  <r>
    <d v="2023-11-25T00:00:00"/>
    <n v="25.004936858193108"/>
    <n v="46.789882071742277"/>
    <n v="285.09029075430288"/>
    <n v="3.1755362241119491"/>
    <n v="0.17218604340536231"/>
    <n v="0"/>
    <x v="0"/>
  </r>
  <r>
    <d v="2023-02-10T01:00:00"/>
    <n v="20.585820231736928"/>
    <n v="66.627656613991178"/>
    <n v="304.51185316551511"/>
    <n v="4.6890736707143112"/>
    <n v="0.42041281642923622"/>
    <n v="1"/>
    <x v="0"/>
  </r>
  <r>
    <d v="2023-03-01T13:00:00"/>
    <n v="27.775631943305392"/>
    <n v="44.451384730317891"/>
    <n v="373.76583249787109"/>
    <n v="2.9306341667558811"/>
    <n v="1.5643509503838391"/>
    <n v="13"/>
    <x v="1"/>
  </r>
  <r>
    <d v="2023-04-27T18:00:00"/>
    <n v="25.387082535651171"/>
    <n v="59.885830423322943"/>
    <n v="849.68915120209294"/>
    <n v="3.9685326841506519"/>
    <n v="0.43077695049026721"/>
    <n v="18"/>
    <x v="1"/>
  </r>
  <r>
    <d v="2023-06-14T03:00:00"/>
    <n v="24.306514522683859"/>
    <n v="35.850603250863628"/>
    <n v="510.7398929631421"/>
    <n v="2.4195544063116019"/>
    <n v="1.1617466936886001"/>
    <n v="3"/>
    <x v="0"/>
  </r>
  <r>
    <d v="2023-07-27T04:00:00"/>
    <n v="28.148922205470591"/>
    <n v="57.886387833093927"/>
    <n v="214.37975087173021"/>
    <n v="2.1295570065588891"/>
    <n v="1.2684591237738121"/>
    <n v="4"/>
    <x v="0"/>
  </r>
  <r>
    <d v="2023-12-16T01:00:00"/>
    <n v="21.968846910630671"/>
    <n v="49.657589882375852"/>
    <n v="434.38247001562053"/>
    <n v="1.394397060347337"/>
    <n v="0.39760904029030342"/>
    <n v="1"/>
    <x v="0"/>
  </r>
  <r>
    <d v="2023-12-03T01:00:00"/>
    <n v="22.716813581317449"/>
    <n v="46.985169659908557"/>
    <n v="390.85101363052308"/>
    <n v="4.8795953357302082"/>
    <n v="1.838162108848324"/>
    <n v="1"/>
    <x v="0"/>
  </r>
  <r>
    <d v="2023-03-08T18:00:00"/>
    <n v="26.39727043731612"/>
    <n v="39.26436723063847"/>
    <n v="168.49153367984809"/>
    <n v="2.5140488091448101"/>
    <n v="0.21115351013066441"/>
    <n v="18"/>
    <x v="1"/>
  </r>
  <r>
    <d v="2023-10-25T15:00:00"/>
    <n v="23.90058037301867"/>
    <n v="69.498234057866682"/>
    <n v="840.96238215804419"/>
    <n v="4.4944520299744264"/>
    <n v="1.8465457237753931"/>
    <n v="15"/>
    <x v="1"/>
  </r>
  <r>
    <d v="2023-04-29T13:00:00"/>
    <n v="23.03069289205774"/>
    <n v="34.944774079490067"/>
    <n v="758.21549341656623"/>
    <n v="3.4787857679515679"/>
    <n v="0.31621883560533448"/>
    <n v="13"/>
    <x v="1"/>
  </r>
  <r>
    <d v="2023-07-05T09:00:00"/>
    <n v="22.546159351015199"/>
    <n v="38.139675986691643"/>
    <n v="492.00588865797698"/>
    <n v="3.7128500460028628"/>
    <n v="1.8116529683500071"/>
    <n v="9"/>
    <x v="2"/>
  </r>
  <r>
    <d v="2023-12-15T13:00:00"/>
    <n v="24.857307866628769"/>
    <n v="45.096453057812226"/>
    <n v="731.38857056477434"/>
    <n v="2.8290666738483381"/>
    <n v="0.79899276120574736"/>
    <n v="13"/>
    <x v="1"/>
  </r>
  <r>
    <d v="2023-02-13T09:00:00"/>
    <n v="27.755368723009688"/>
    <n v="35.244814965403357"/>
    <n v="404.83846784210812"/>
    <n v="2.3089826279104759"/>
    <n v="1.6006975006255739"/>
    <n v="9"/>
    <x v="2"/>
  </r>
  <r>
    <d v="2023-03-03T21:00:00"/>
    <n v="28.053259580175691"/>
    <n v="67.412978968127476"/>
    <n v="942.25241286978542"/>
    <n v="2.8947601581950648"/>
    <n v="0.8490515069712089"/>
    <n v="21"/>
    <x v="0"/>
  </r>
  <r>
    <d v="2023-01-23T20:00:00"/>
    <n v="27.90569700685467"/>
    <n v="66.415255629020848"/>
    <n v="550.70354473183227"/>
    <n v="4.0655208452622258"/>
    <n v="1.4929973177967171"/>
    <n v="20"/>
    <x v="0"/>
  </r>
  <r>
    <d v="2023-06-21T12:00:00"/>
    <n v="28.856452506740251"/>
    <n v="47.527711212752152"/>
    <n v="200.08263211707859"/>
    <n v="4.6483777080899298"/>
    <n v="1.7195424352445989"/>
    <n v="12"/>
    <x v="2"/>
  </r>
  <r>
    <d v="2023-01-07T12:00:00"/>
    <n v="20.507418306394211"/>
    <n v="49.69602781495125"/>
    <n v="527.66374085590951"/>
    <n v="2.9811648003409141"/>
    <n v="1.098333869294807"/>
    <n v="12"/>
    <x v="2"/>
  </r>
  <r>
    <d v="2023-12-12T14:00:00"/>
    <n v="29.82216859910011"/>
    <n v="32.483623899408236"/>
    <n v="424.11771455813158"/>
    <n v="3.123450789756951"/>
    <n v="0.86406517739537536"/>
    <n v="14"/>
    <x v="1"/>
  </r>
  <r>
    <d v="2023-09-21T20:00:00"/>
    <n v="24.264614917885972"/>
    <n v="63.574914646692548"/>
    <n v="130.69377098239531"/>
    <n v="3.9298326273355322"/>
    <n v="0.84980201626092911"/>
    <n v="20"/>
    <x v="0"/>
  </r>
  <r>
    <d v="2023-06-08T10:00:00"/>
    <n v="21.929821079457799"/>
    <n v="61.219501518911663"/>
    <n v="414.73881785718459"/>
    <n v="4.8373855826236838"/>
    <n v="0.20752434944652581"/>
    <n v="10"/>
    <x v="2"/>
  </r>
  <r>
    <d v="2023-04-24T06:00:00"/>
    <n v="29.700227833676319"/>
    <n v="45.731557807916893"/>
    <n v="978.70673601367162"/>
    <n v="3.6312898535343159"/>
    <n v="0.12814986244666049"/>
    <n v="6"/>
    <x v="2"/>
  </r>
  <r>
    <d v="2023-07-18T16:00:00"/>
    <n v="28.251823228761321"/>
    <n v="49.083490577796788"/>
    <n v="333.68442884571817"/>
    <n v="4.4001931446555629"/>
    <n v="1.512783255100919"/>
    <n v="16"/>
    <x v="1"/>
  </r>
  <r>
    <d v="2023-08-11T12:00:00"/>
    <n v="29.297235523838179"/>
    <n v="56.374471870548533"/>
    <n v="751.60249373109957"/>
    <n v="2.6164724456916839"/>
    <n v="0.88925901846447042"/>
    <n v="12"/>
    <x v="2"/>
  </r>
  <r>
    <d v="2023-04-19T01:00:00"/>
    <n v="25.231537257537632"/>
    <n v="48.623161472540467"/>
    <n v="238.72586100171401"/>
    <n v="1.7179470236168659"/>
    <n v="0.3870762600210621"/>
    <n v="1"/>
    <x v="0"/>
  </r>
  <r>
    <d v="2023-08-30T02:00:00"/>
    <n v="27.47741849615414"/>
    <n v="40.927615762010397"/>
    <n v="252.38843604986559"/>
    <n v="3.8188588499572562"/>
    <n v="1.755920294467902"/>
    <n v="2"/>
    <x v="0"/>
  </r>
  <r>
    <d v="2023-12-23T05:00:00"/>
    <n v="25.194640377742839"/>
    <n v="41.899417722731272"/>
    <n v="366.84187314446967"/>
    <n v="1.980256872226219"/>
    <n v="1.3117662785696289"/>
    <n v="5"/>
    <x v="0"/>
  </r>
  <r>
    <d v="2023-04-18T19:00:00"/>
    <n v="25.39450113811456"/>
    <n v="50.692520320818097"/>
    <n v="113.1532484639996"/>
    <n v="4.5433371171322801"/>
    <n v="1.0015584518769201"/>
    <n v="19"/>
    <x v="0"/>
  </r>
  <r>
    <d v="2023-01-31T16:00:00"/>
    <n v="29.515009644070361"/>
    <n v="69.781241231194016"/>
    <n v="535.28082774569248"/>
    <n v="1.3148944267260469"/>
    <n v="0.77827148718242845"/>
    <n v="16"/>
    <x v="1"/>
  </r>
  <r>
    <d v="2023-12-05T23:00:00"/>
    <n v="27.383569836420978"/>
    <n v="49.597027149708268"/>
    <n v="972.84295335795548"/>
    <n v="2.9037334292440939"/>
    <n v="0.75501802011621155"/>
    <n v="23"/>
    <x v="0"/>
  </r>
  <r>
    <d v="2023-07-28T22:00:00"/>
    <n v="25.667778068474931"/>
    <n v="32.231896797857587"/>
    <n v="353.37782030042388"/>
    <n v="2.7455531621329401"/>
    <n v="0.80569853346623976"/>
    <n v="22"/>
    <x v="0"/>
  </r>
  <r>
    <d v="2023-02-14T23:00:00"/>
    <n v="23.927352644321399"/>
    <n v="67.547816650851757"/>
    <n v="702.84480585768449"/>
    <n v="4.4494167098743951"/>
    <n v="1.784453238138977"/>
    <n v="23"/>
    <x v="0"/>
  </r>
  <r>
    <d v="2023-01-13T04:00:00"/>
    <n v="21.643276386144109"/>
    <n v="42.23883584367276"/>
    <n v="859.8530029702265"/>
    <n v="4.8751452712446577"/>
    <n v="0.81934784207981992"/>
    <n v="4"/>
    <x v="0"/>
  </r>
  <r>
    <d v="2023-10-16T01:00:00"/>
    <n v="21.15730374575417"/>
    <n v="31.59301506936448"/>
    <n v="945.51041612117751"/>
    <n v="4.8145049509939666"/>
    <n v="0.1367012189908835"/>
    <n v="1"/>
    <x v="0"/>
  </r>
  <r>
    <d v="2023-07-26T21:00:00"/>
    <n v="22.996661455366219"/>
    <n v="32.891430455831348"/>
    <n v="122.7936989841067"/>
    <n v="1.21971917947552"/>
    <n v="0.37537401414614791"/>
    <n v="21"/>
    <x v="0"/>
  </r>
  <r>
    <d v="2023-10-01T11:00:00"/>
    <n v="26.928043451973249"/>
    <n v="36.845384164383162"/>
    <n v="860.60658214991429"/>
    <n v="4.9630647857814516"/>
    <n v="0.75779564831697754"/>
    <n v="11"/>
    <x v="2"/>
  </r>
  <r>
    <d v="2023-03-27T12:00:00"/>
    <n v="21.9155261876571"/>
    <n v="55.366256281017428"/>
    <n v="173.2596276433564"/>
    <n v="3.6718667751305452"/>
    <n v="0.41606918143097238"/>
    <n v="12"/>
    <x v="2"/>
  </r>
  <r>
    <d v="2023-03-27T05:00:00"/>
    <n v="21.314621365907058"/>
    <n v="44.719443298280957"/>
    <n v="382.04800426268503"/>
    <n v="2.0091449146736968"/>
    <n v="1.663664777051705"/>
    <n v="5"/>
    <x v="0"/>
  </r>
  <r>
    <d v="2023-12-13T03:00:00"/>
    <n v="20.777573769731401"/>
    <n v="66.692001644941598"/>
    <n v="768.38689933149999"/>
    <n v="2.5081757480832092"/>
    <n v="1.997590060432161"/>
    <n v="3"/>
    <x v="0"/>
  </r>
  <r>
    <d v="2023-02-16T02:00:00"/>
    <n v="28.462493800401599"/>
    <n v="61.730942573835947"/>
    <n v="431.41562797578717"/>
    <n v="4.5547906065558106"/>
    <n v="0.73490973963960116"/>
    <n v="2"/>
    <x v="0"/>
  </r>
  <r>
    <d v="2023-10-21T22:00:00"/>
    <n v="22.411898217604708"/>
    <n v="42.833473581654019"/>
    <n v="150.86406258386231"/>
    <n v="4.6642106341289944"/>
    <n v="1.02185406146896"/>
    <n v="22"/>
    <x v="0"/>
  </r>
  <r>
    <d v="2023-01-22T05:00:00"/>
    <n v="22.008504640859531"/>
    <n v="69.444632092278894"/>
    <n v="768.92051023744921"/>
    <n v="1.4875579635486811"/>
    <n v="0.190474517644702"/>
    <n v="5"/>
    <x v="0"/>
  </r>
  <r>
    <d v="2023-11-08T07:00:00"/>
    <n v="23.908538678925719"/>
    <n v="56.659951931936611"/>
    <n v="601.08946811519206"/>
    <n v="1.573261835350662"/>
    <n v="0.4694818164125738"/>
    <n v="7"/>
    <x v="2"/>
  </r>
  <r>
    <d v="2023-08-22T08:00:00"/>
    <n v="26.294862004857279"/>
    <n v="30.697550378047321"/>
    <n v="518.73421709426157"/>
    <n v="1.1767820477983131"/>
    <n v="0.53521496053317208"/>
    <n v="8"/>
    <x v="2"/>
  </r>
  <r>
    <d v="2023-09-18T19:00:00"/>
    <n v="25.862597572348029"/>
    <n v="48.523529967826917"/>
    <n v="472.201200194276"/>
    <n v="2.5753858188712031"/>
    <n v="0.83621753688238132"/>
    <n v="19"/>
    <x v="0"/>
  </r>
  <r>
    <d v="2023-10-26T19:00:00"/>
    <n v="29.236578068800451"/>
    <n v="66.412954992846934"/>
    <n v="665.34010379342283"/>
    <n v="2.3805423577761662"/>
    <n v="1.6701915584776139"/>
    <n v="19"/>
    <x v="0"/>
  </r>
  <r>
    <d v="2023-07-08T06:00:00"/>
    <n v="26.81972130381547"/>
    <n v="41.838413901864598"/>
    <n v="925.34465913264091"/>
    <n v="3.6908592453214211"/>
    <n v="0.85849951684133841"/>
    <n v="6"/>
    <x v="2"/>
  </r>
  <r>
    <d v="2023-06-19T20:00:00"/>
    <n v="25.61971550097595"/>
    <n v="67.074655598193402"/>
    <n v="478.41370385552682"/>
    <n v="1.646580195325392"/>
    <n v="1.5087143581161211"/>
    <n v="20"/>
    <x v="0"/>
  </r>
  <r>
    <d v="2023-03-09T14:00:00"/>
    <n v="27.115981672249319"/>
    <n v="54.614526169731683"/>
    <n v="448.85267260680462"/>
    <n v="4.1879115183453859"/>
    <n v="1.1043207845756839"/>
    <n v="14"/>
    <x v="1"/>
  </r>
  <r>
    <d v="2023-08-04T14:00:00"/>
    <n v="26.6372348809012"/>
    <n v="53.321745661143133"/>
    <n v="425.14014661012658"/>
    <n v="3.3205918247197199"/>
    <n v="1.3609334889553499"/>
    <n v="14"/>
    <x v="1"/>
  </r>
  <r>
    <d v="2023-07-05T03:00:00"/>
    <n v="27.674783192279619"/>
    <n v="44.633084130762633"/>
    <n v="279.27164332046442"/>
    <n v="1.4440334913718329"/>
    <n v="0.47472517376847201"/>
    <n v="3"/>
    <x v="0"/>
  </r>
  <r>
    <d v="2023-10-04T07:00:00"/>
    <n v="25.724263128483081"/>
    <n v="68.2769444266345"/>
    <n v="849.48687803157497"/>
    <n v="4.5874102930649734"/>
    <n v="0.17374243608201029"/>
    <n v="7"/>
    <x v="2"/>
  </r>
  <r>
    <d v="2023-01-22T08:00:00"/>
    <n v="28.072907950548831"/>
    <n v="47.224646808883769"/>
    <n v="307.14541988906899"/>
    <n v="4.3977069295794919"/>
    <n v="0.56867387635977173"/>
    <n v="8"/>
    <x v="2"/>
  </r>
  <r>
    <d v="2023-03-17T17:00:00"/>
    <n v="29.000573049353441"/>
    <n v="55.375449590113732"/>
    <n v="598.97042691931983"/>
    <n v="4.0163965507116419"/>
    <n v="0.29234206304292321"/>
    <n v="17"/>
    <x v="1"/>
  </r>
  <r>
    <d v="2023-09-27T10:00:00"/>
    <n v="26.96476829414566"/>
    <n v="55.483414765064211"/>
    <n v="803.20725713349009"/>
    <n v="2.9189655024437879"/>
    <n v="1.435069556409323"/>
    <n v="10"/>
    <x v="2"/>
  </r>
  <r>
    <d v="2023-12-16T03:00:00"/>
    <n v="23.576198580418819"/>
    <n v="55.735735414332723"/>
    <n v="123.215032899154"/>
    <n v="3.441517334220233"/>
    <n v="1.1815284903021619"/>
    <n v="3"/>
    <x v="0"/>
  </r>
  <r>
    <d v="2023-11-10T18:00:00"/>
    <n v="22.799782356028579"/>
    <n v="42.241711129115927"/>
    <n v="553.16269533151421"/>
    <n v="1.791099922446"/>
    <n v="1.608008050054941"/>
    <n v="18"/>
    <x v="1"/>
  </r>
  <r>
    <d v="2023-08-19T11:00:00"/>
    <n v="26.37185665211906"/>
    <n v="64.589659249365923"/>
    <n v="461.99651890508437"/>
    <n v="4.0391955587150008"/>
    <n v="0.86493314767705787"/>
    <n v="11"/>
    <x v="2"/>
  </r>
  <r>
    <d v="2023-07-07T13:00:00"/>
    <n v="26.314291382744621"/>
    <n v="53.744141620183413"/>
    <n v="165.50474490309591"/>
    <n v="3.77577948491047"/>
    <n v="0.59493511426479717"/>
    <n v="13"/>
    <x v="1"/>
  </r>
  <r>
    <d v="2023-12-27T11:00:00"/>
    <n v="20.239105638516289"/>
    <n v="45.537823276324843"/>
    <n v="836.85192272107827"/>
    <n v="4.1956468175636674"/>
    <n v="1.735977625421425"/>
    <n v="11"/>
    <x v="2"/>
  </r>
  <r>
    <d v="2023-04-15T08:00:00"/>
    <n v="27.47109389627796"/>
    <n v="42.890974382728047"/>
    <n v="462.68762167515888"/>
    <n v="4.751584657439059"/>
    <n v="1.1745079972120329"/>
    <n v="8"/>
    <x v="2"/>
  </r>
  <r>
    <d v="2023-05-18T19:00:00"/>
    <n v="22.218744868277501"/>
    <n v="34.547389640103837"/>
    <n v="435.43243732263022"/>
    <n v="4.5554718310222349"/>
    <n v="0.99850771462186816"/>
    <n v="19"/>
    <x v="0"/>
  </r>
  <r>
    <d v="2023-10-14T11:00:00"/>
    <n v="20.54490162140436"/>
    <n v="54.409699673945497"/>
    <n v="706.07515829953331"/>
    <n v="4.5816168669674768"/>
    <n v="1.793553123210875"/>
    <n v="11"/>
    <x v="2"/>
  </r>
  <r>
    <d v="2023-10-10T15:00:00"/>
    <n v="21.53199207562411"/>
    <n v="61.304297717452293"/>
    <n v="499.12873556288298"/>
    <n v="2.7199663421129792"/>
    <n v="0.76084387041509238"/>
    <n v="15"/>
    <x v="1"/>
  </r>
  <r>
    <d v="2023-01-12T04:00:00"/>
    <n v="26.567808884737261"/>
    <n v="46.898631770322751"/>
    <n v="434.87570388409819"/>
    <n v="4.1543936223142417"/>
    <n v="0.87691418216415884"/>
    <n v="4"/>
    <x v="0"/>
  </r>
  <r>
    <d v="2023-12-28T20:00:00"/>
    <n v="25.2305468809876"/>
    <n v="66.626433959800295"/>
    <n v="606.19745177358436"/>
    <n v="4.8783146951797756"/>
    <n v="0.58914469891895549"/>
    <n v="20"/>
    <x v="0"/>
  </r>
  <r>
    <d v="2023-05-30T20:00:00"/>
    <n v="28.469377416298869"/>
    <n v="35.021426011025071"/>
    <n v="425.11223020715983"/>
    <n v="2.0643170816615952"/>
    <n v="0.35214428702191691"/>
    <n v="20"/>
    <x v="0"/>
  </r>
  <r>
    <d v="2023-10-21T10:00:00"/>
    <n v="21.062527499909901"/>
    <n v="49.515571767761671"/>
    <n v="778.27310642797283"/>
    <n v="4.0608082778708523"/>
    <n v="1.1847025489505969"/>
    <n v="10"/>
    <x v="2"/>
  </r>
  <r>
    <d v="2023-04-05T11:00:00"/>
    <n v="28.295166405584411"/>
    <n v="55.697032283022622"/>
    <n v="782.4566743348563"/>
    <n v="1.9724724906464981"/>
    <n v="1.8505500508673971"/>
    <n v="11"/>
    <x v="2"/>
  </r>
  <r>
    <d v="2023-12-19T18:00:00"/>
    <n v="26.509178999698829"/>
    <n v="52.784164454345692"/>
    <n v="779.53651870340525"/>
    <n v="2.141262399820532"/>
    <n v="1.3327243869579311"/>
    <n v="18"/>
    <x v="1"/>
  </r>
  <r>
    <d v="2023-10-10T07:00:00"/>
    <n v="22.14929543900114"/>
    <n v="65.579772404540648"/>
    <n v="811.31119208159703"/>
    <n v="2.7107303761283199"/>
    <n v="1.361334804684184"/>
    <n v="7"/>
    <x v="2"/>
  </r>
  <r>
    <d v="2023-10-15T07:00:00"/>
    <n v="27.369056156720561"/>
    <n v="57.361338227280243"/>
    <n v="589.12530062174255"/>
    <n v="2.7686401846717881"/>
    <n v="1.731005334248285"/>
    <n v="7"/>
    <x v="2"/>
  </r>
  <r>
    <d v="2023-11-19T14:00:00"/>
    <n v="27.413332879208891"/>
    <n v="63.001325239736232"/>
    <n v="838.06091420247469"/>
    <n v="3.803200527286335"/>
    <n v="1.430229993379915"/>
    <n v="14"/>
    <x v="1"/>
  </r>
  <r>
    <d v="2023-11-23T01:00:00"/>
    <n v="21.08001584482383"/>
    <n v="56.485036428893807"/>
    <n v="341.63521803931212"/>
    <n v="1.4189609238957901"/>
    <n v="0.81428681752773391"/>
    <n v="1"/>
    <x v="0"/>
  </r>
  <r>
    <d v="2023-06-15T19:00:00"/>
    <n v="22.664468110210091"/>
    <n v="43.769738886581607"/>
    <n v="922.95474475169601"/>
    <n v="4.3665021599748837"/>
    <n v="1.6263177060767351"/>
    <n v="19"/>
    <x v="0"/>
  </r>
  <r>
    <d v="2023-10-25T03:00:00"/>
    <n v="26.388649039268319"/>
    <n v="40.903351859375647"/>
    <n v="461.83270455368461"/>
    <n v="1.5445092129871349"/>
    <n v="0.33559500521089042"/>
    <n v="3"/>
    <x v="0"/>
  </r>
  <r>
    <d v="2023-11-12T18:00:00"/>
    <n v="23.80574663015831"/>
    <n v="43.998453716498346"/>
    <n v="577.19419109279841"/>
    <n v="1.1023062390046829"/>
    <n v="1.755790982853306"/>
    <n v="18"/>
    <x v="1"/>
  </r>
  <r>
    <d v="2023-03-20T09:00:00"/>
    <n v="27.652449460248011"/>
    <n v="46.327125768637217"/>
    <n v="249.62064158450829"/>
    <n v="2.6127828660339421"/>
    <n v="1.067369539406932"/>
    <n v="9"/>
    <x v="2"/>
  </r>
  <r>
    <d v="2023-11-29T17:00:00"/>
    <n v="25.360424408076259"/>
    <n v="63.072298940193591"/>
    <n v="131.53959771262529"/>
    <n v="4.1002410499035102"/>
    <n v="1.1370607580170899"/>
    <n v="17"/>
    <x v="1"/>
  </r>
  <r>
    <d v="2023-09-13T06:00:00"/>
    <n v="28.569970748307679"/>
    <n v="58.437442030817813"/>
    <n v="182.57936014389199"/>
    <n v="2.393694672551355"/>
    <n v="1.853083644576152"/>
    <n v="6"/>
    <x v="2"/>
  </r>
  <r>
    <d v="2023-08-07T11:00:00"/>
    <n v="21.110260154079128"/>
    <n v="63.073694577601792"/>
    <n v="101.960409335958"/>
    <n v="4.4011525263772642"/>
    <n v="1.397091789689584"/>
    <n v="11"/>
    <x v="2"/>
  </r>
  <r>
    <d v="2023-08-07T15:00:00"/>
    <n v="27.337467724623998"/>
    <n v="67.005455844832369"/>
    <n v="793.56323059038175"/>
    <n v="3.6534801390759921"/>
    <n v="0.2485201210852965"/>
    <n v="15"/>
    <x v="1"/>
  </r>
  <r>
    <d v="2023-08-08T05:00:00"/>
    <n v="24.646399700689681"/>
    <n v="62.591886351984748"/>
    <n v="783.66900016219495"/>
    <n v="3.8355968563827281"/>
    <n v="0.58052145994362214"/>
    <n v="5"/>
    <x v="0"/>
  </r>
  <r>
    <d v="2023-06-22T22:00:00"/>
    <n v="25.193909558246361"/>
    <n v="68.491102993161803"/>
    <n v="475.08096204338767"/>
    <n v="3.0676737645597889"/>
    <n v="1.450456359104868"/>
    <n v="22"/>
    <x v="0"/>
  </r>
  <r>
    <d v="2023-01-25T08:00:00"/>
    <n v="22.84045562122175"/>
    <n v="67.994457582179848"/>
    <n v="647.77047389955158"/>
    <n v="3.357562319227986"/>
    <n v="0.27692998830127902"/>
    <n v="8"/>
    <x v="2"/>
  </r>
  <r>
    <d v="2023-02-06T22:00:00"/>
    <n v="22.690631536826121"/>
    <n v="42.838471370259413"/>
    <n v="235.0398543837093"/>
    <n v="1.6551823783374771"/>
    <n v="0.59646384575865974"/>
    <n v="22"/>
    <x v="0"/>
  </r>
  <r>
    <d v="2023-01-21T08:00:00"/>
    <n v="21.898038153883832"/>
    <n v="45.692282371253711"/>
    <n v="860.0945351211459"/>
    <n v="4.5499955768518836"/>
    <n v="0.60100546692595624"/>
    <n v="8"/>
    <x v="2"/>
  </r>
  <r>
    <d v="2023-12-30T03:00:00"/>
    <n v="23.733456825587741"/>
    <n v="53.008231777309241"/>
    <n v="658.95949682921207"/>
    <n v="2.7030375690825981"/>
    <n v="1.444646274140527"/>
    <n v="3"/>
    <x v="0"/>
  </r>
  <r>
    <d v="2023-03-11T19:00:00"/>
    <n v="22.389878449924971"/>
    <n v="57.621847852206031"/>
    <n v="417.12961182440301"/>
    <n v="2.7555769701989332"/>
    <n v="0.19808425111795311"/>
    <n v="19"/>
    <x v="0"/>
  </r>
  <r>
    <d v="2023-11-18T05:00:00"/>
    <n v="21.89728076298643"/>
    <n v="48.588226831948333"/>
    <n v="870.66020557578884"/>
    <n v="3.713888744455295"/>
    <n v="0.75546416940499805"/>
    <n v="5"/>
    <x v="0"/>
  </r>
  <r>
    <d v="2023-01-30T22:00:00"/>
    <n v="29.617959126059919"/>
    <n v="61.510761140962607"/>
    <n v="739.56563236898853"/>
    <n v="4.5535754500392924"/>
    <n v="0.91010856096533155"/>
    <n v="22"/>
    <x v="0"/>
  </r>
  <r>
    <d v="2023-03-23T11:00:00"/>
    <n v="24.47414282482659"/>
    <n v="55.280272514045897"/>
    <n v="476.44933193648097"/>
    <n v="3.9761792285441779"/>
    <n v="0.239256313844362"/>
    <n v="11"/>
    <x v="2"/>
  </r>
  <r>
    <d v="2023-02-23T20:00:00"/>
    <n v="26.781223326131219"/>
    <n v="53.834811159028007"/>
    <n v="426.80933686888523"/>
    <n v="2.765391139748647"/>
    <n v="0.97096292271735651"/>
    <n v="20"/>
    <x v="0"/>
  </r>
  <r>
    <d v="2023-04-22T02:00:00"/>
    <n v="23.741481585076791"/>
    <n v="35.815804759661567"/>
    <n v="281.36361811931829"/>
    <n v="2.8495104487708112"/>
    <n v="1.109674679281937"/>
    <n v="2"/>
    <x v="0"/>
  </r>
  <r>
    <d v="2023-12-10T08:00:00"/>
    <n v="25.697937438063871"/>
    <n v="36.852577229198523"/>
    <n v="257.30989417063358"/>
    <n v="2.1134225718409829"/>
    <n v="1.944555250804797"/>
    <n v="8"/>
    <x v="2"/>
  </r>
  <r>
    <d v="2023-07-30T08:00:00"/>
    <n v="24.99202109033633"/>
    <n v="42.5314891624637"/>
    <n v="506.33566875616219"/>
    <n v="1.233567931257127"/>
    <n v="1.7596845435882089"/>
    <n v="8"/>
    <x v="2"/>
  </r>
  <r>
    <d v="2023-03-10T00:00:00"/>
    <n v="26.126881483507908"/>
    <n v="68.49900016220225"/>
    <n v="432.9781600585996"/>
    <n v="4.7587384365965004"/>
    <n v="1.8680510584847361"/>
    <n v="0"/>
    <x v="0"/>
  </r>
  <r>
    <d v="2023-12-04T09:00:00"/>
    <n v="27.227287544489251"/>
    <n v="33.048413920354591"/>
    <n v="155.2491127267084"/>
    <n v="1.3984911233105759"/>
    <n v="0.61438693979301851"/>
    <n v="9"/>
    <x v="2"/>
  </r>
  <r>
    <d v="2023-09-04T19:00:00"/>
    <n v="26.639092057513139"/>
    <n v="68.410049508647532"/>
    <n v="379.13412924932629"/>
    <n v="2.0821033544499632"/>
    <n v="0.38531775565961057"/>
    <n v="19"/>
    <x v="0"/>
  </r>
  <r>
    <d v="2023-03-23T21:00:00"/>
    <n v="27.62103388649702"/>
    <n v="49.084289256640638"/>
    <n v="220.3654714690679"/>
    <n v="4.7897939530427749"/>
    <n v="1.3131354916205129"/>
    <n v="21"/>
    <x v="0"/>
  </r>
  <r>
    <d v="2023-04-03T03:00:00"/>
    <n v="21.463044079122529"/>
    <n v="47.438450127793203"/>
    <n v="821.87585441987005"/>
    <n v="3.3111000118278828"/>
    <n v="0.48289727915930508"/>
    <n v="3"/>
    <x v="0"/>
  </r>
  <r>
    <d v="2023-06-17T01:00:00"/>
    <n v="20.94031140503543"/>
    <n v="63.875194556156671"/>
    <n v="530.39452328806874"/>
    <n v="4.4122792247444984"/>
    <n v="1.214315963910334"/>
    <n v="1"/>
    <x v="0"/>
  </r>
  <r>
    <d v="2023-01-12T15:00:00"/>
    <n v="23.388994330792571"/>
    <n v="63.259045920441551"/>
    <n v="265.73447704619662"/>
    <n v="3.7804994021917642"/>
    <n v="0.47187718589996852"/>
    <n v="15"/>
    <x v="1"/>
  </r>
  <r>
    <d v="2023-04-26T01:00:00"/>
    <n v="24.818278608750909"/>
    <n v="35.359360353277509"/>
    <n v="245.28832119406761"/>
    <n v="1.1856139601060951"/>
    <n v="0.2237736503114422"/>
    <n v="1"/>
    <x v="0"/>
  </r>
  <r>
    <d v="2023-01-10T23:00:00"/>
    <n v="22.244025864293231"/>
    <n v="62.469775995894572"/>
    <n v="836.76930521558245"/>
    <n v="1.5992833977404439"/>
    <n v="0.95295597644646324"/>
    <n v="23"/>
    <x v="0"/>
  </r>
  <r>
    <d v="2023-01-03T02:00:00"/>
    <n v="27.732245299699478"/>
    <n v="50.428134500070271"/>
    <n v="601.1098714719185"/>
    <n v="1.4701518500799311"/>
    <n v="1.3092546288575519"/>
    <n v="2"/>
    <x v="0"/>
  </r>
  <r>
    <d v="2023-10-03T03:00:00"/>
    <n v="27.19555944223092"/>
    <n v="42.925083793481861"/>
    <n v="552.62502362611338"/>
    <n v="2.925133757539053"/>
    <n v="0.2788558649295993"/>
    <n v="3"/>
    <x v="0"/>
  </r>
  <r>
    <d v="2023-05-29T21:00:00"/>
    <n v="29.135789182968011"/>
    <n v="34.335169166203499"/>
    <n v="503.19911470790021"/>
    <n v="4.2656385040250813"/>
    <n v="1.144464285075643"/>
    <n v="21"/>
    <x v="0"/>
  </r>
  <r>
    <d v="2023-10-17T01:00:00"/>
    <n v="27.28960197645327"/>
    <n v="53.689109537982937"/>
    <n v="770.05206172904457"/>
    <n v="3.8727374837440842"/>
    <n v="0.92998628270069639"/>
    <n v="1"/>
    <x v="0"/>
  </r>
  <r>
    <d v="2023-08-01T09:00:00"/>
    <n v="21.07145317861897"/>
    <n v="61.213260231880582"/>
    <n v="595.28623447551399"/>
    <n v="1.828556600179041"/>
    <n v="0.58495959583688073"/>
    <n v="9"/>
    <x v="2"/>
  </r>
  <r>
    <d v="2023-06-17T23:00:00"/>
    <n v="26.64994823834062"/>
    <n v="65.426980625265628"/>
    <n v="207.39352501804109"/>
    <n v="2.6672255117390549"/>
    <n v="0.42656797791195861"/>
    <n v="23"/>
    <x v="0"/>
  </r>
  <r>
    <d v="2023-09-02T09:00:00"/>
    <n v="24.120593377116151"/>
    <n v="68.864764112250072"/>
    <n v="162.51177485751521"/>
    <n v="3.7931943604849732"/>
    <n v="0.54521930437595689"/>
    <n v="9"/>
    <x v="2"/>
  </r>
  <r>
    <d v="2023-09-15T05:00:00"/>
    <n v="22.596147771366439"/>
    <n v="34.927540844482998"/>
    <n v="341.08599947982128"/>
    <n v="4.5775468117537876"/>
    <n v="1.8035619350735219"/>
    <n v="5"/>
    <x v="0"/>
  </r>
  <r>
    <d v="2023-02-08T17:00:00"/>
    <n v="26.019514224019971"/>
    <n v="45.871360014469047"/>
    <n v="975.93759372931424"/>
    <n v="4.6644968867577026"/>
    <n v="0.1605538553959738"/>
    <n v="17"/>
    <x v="1"/>
  </r>
  <r>
    <d v="2023-01-31T05:00:00"/>
    <n v="23.02190167339327"/>
    <n v="31.94705838676548"/>
    <n v="173.505703051441"/>
    <n v="3.0185326510762791"/>
    <n v="0.3802205637233762"/>
    <n v="5"/>
    <x v="0"/>
  </r>
  <r>
    <d v="2023-07-07T12:00:00"/>
    <n v="25.30856325680875"/>
    <n v="55.429759335803013"/>
    <n v="584.19133503626563"/>
    <n v="2.6648051445947698"/>
    <n v="1.084522753002666"/>
    <n v="12"/>
    <x v="2"/>
  </r>
  <r>
    <d v="2023-04-09T13:00:00"/>
    <n v="25.759773853564091"/>
    <n v="65.506784385774665"/>
    <n v="928.77327349955851"/>
    <n v="3.6069055800062721"/>
    <n v="1.3970177405637869"/>
    <n v="13"/>
    <x v="1"/>
  </r>
  <r>
    <d v="2023-06-02T20:00:00"/>
    <n v="25.290669153175489"/>
    <n v="57.4905227552524"/>
    <n v="169.17083124285281"/>
    <n v="3.6502096846984919"/>
    <n v="0.87960740440098106"/>
    <n v="20"/>
    <x v="0"/>
  </r>
  <r>
    <d v="2023-07-08T11:00:00"/>
    <n v="20.106865202535278"/>
    <n v="45.548365439349723"/>
    <n v="271.2325966508929"/>
    <n v="4.8931280606048917"/>
    <n v="0.55667988294408399"/>
    <n v="11"/>
    <x v="2"/>
  </r>
  <r>
    <d v="2023-12-24T07:00:00"/>
    <n v="23.48738914166999"/>
    <n v="60.396954239554489"/>
    <n v="658.88940154567274"/>
    <n v="2.992219080480786"/>
    <n v="0.62126011696875671"/>
    <n v="7"/>
    <x v="2"/>
  </r>
  <r>
    <d v="2023-08-26T14:00:00"/>
    <n v="27.904622642826709"/>
    <n v="69.864517728870908"/>
    <n v="112.4482352155128"/>
    <n v="3.1504571857283001"/>
    <n v="1.3338573655453609"/>
    <n v="14"/>
    <x v="1"/>
  </r>
  <r>
    <d v="2023-03-29T15:00:00"/>
    <n v="23.468956441461401"/>
    <n v="30.04488157481865"/>
    <n v="933.62661678158213"/>
    <n v="2.8367234923108202"/>
    <n v="1.4545134531830211"/>
    <n v="15"/>
    <x v="1"/>
  </r>
  <r>
    <d v="2023-06-15T02:00:00"/>
    <n v="25.09379499773031"/>
    <n v="63.122232413238123"/>
    <n v="196.62483911895461"/>
    <n v="3.8682798039888651"/>
    <n v="1.9435427209103679"/>
    <n v="2"/>
    <x v="0"/>
  </r>
  <r>
    <d v="2023-08-12T00:00:00"/>
    <n v="23.46632079691264"/>
    <n v="43.050864674765648"/>
    <n v="154.38366789797061"/>
    <n v="2.3409456926044729"/>
    <n v="1.436664838052768"/>
    <n v="0"/>
    <x v="0"/>
  </r>
  <r>
    <d v="2023-12-03T21:00:00"/>
    <n v="21.992379074884521"/>
    <n v="59.882658815987362"/>
    <n v="273.00677691115118"/>
    <n v="1.142649043750525"/>
    <n v="0.90163938461771076"/>
    <n v="21"/>
    <x v="0"/>
  </r>
  <r>
    <d v="2023-12-12T01:00:00"/>
    <n v="21.997534706652871"/>
    <n v="39.481634408176447"/>
    <n v="649.31037718580217"/>
    <n v="3.2246233505815001"/>
    <n v="0.56652507962586385"/>
    <n v="1"/>
    <x v="0"/>
  </r>
  <r>
    <d v="2023-06-26T06:00:00"/>
    <n v="27.488595846404021"/>
    <n v="38.072816186436476"/>
    <n v="946.95737283122207"/>
    <n v="2.1251527307128102"/>
    <n v="1.11581365636173"/>
    <n v="6"/>
    <x v="2"/>
  </r>
  <r>
    <d v="2023-10-28T01:00:00"/>
    <n v="26.27952659636836"/>
    <n v="62.383925467863918"/>
    <n v="531.167424213667"/>
    <n v="3.9920144816761458"/>
    <n v="1.4804757634014241"/>
    <n v="1"/>
    <x v="0"/>
  </r>
  <r>
    <d v="2023-09-04T04:00:00"/>
    <n v="29.32057041088958"/>
    <n v="60.695526745712897"/>
    <n v="581.74291856531875"/>
    <n v="1.687057104971426"/>
    <n v="0.32152484027024081"/>
    <n v="4"/>
    <x v="0"/>
  </r>
  <r>
    <d v="2023-10-23T04:00:00"/>
    <n v="24.210046599370369"/>
    <n v="62.448819634743188"/>
    <n v="498.77229792775302"/>
    <n v="4.3804194451016372"/>
    <n v="0.2136374705632853"/>
    <n v="4"/>
    <x v="0"/>
  </r>
  <r>
    <d v="2023-09-12T22:00:00"/>
    <n v="26.36567259372524"/>
    <n v="60.293605464957423"/>
    <n v="582.71259553576942"/>
    <n v="4.0436389134024306"/>
    <n v="0.52590066541690694"/>
    <n v="22"/>
    <x v="0"/>
  </r>
  <r>
    <d v="2023-11-21T19:00:00"/>
    <n v="24.685395758399839"/>
    <n v="33.834481835550918"/>
    <n v="342.41747190310019"/>
    <n v="2.5063789840328679"/>
    <n v="0.89656990837172112"/>
    <n v="19"/>
    <x v="0"/>
  </r>
  <r>
    <d v="2023-05-02T06:00:00"/>
    <n v="24.739378728690621"/>
    <n v="65.315136634443036"/>
    <n v="725.43413415069597"/>
    <n v="1.688997189620917"/>
    <n v="1.3676313930621089"/>
    <n v="6"/>
    <x v="2"/>
  </r>
  <r>
    <d v="2023-11-06T23:00:00"/>
    <n v="28.540873756008779"/>
    <n v="45.104701958963773"/>
    <n v="738.93572682699221"/>
    <n v="4.4207188593499334"/>
    <n v="0.1173728913654658"/>
    <n v="23"/>
    <x v="0"/>
  </r>
  <r>
    <d v="2023-06-03T09:00:00"/>
    <n v="24.543027437485101"/>
    <n v="38.786580523921607"/>
    <n v="568.7569290738985"/>
    <n v="2.3667851213222302"/>
    <n v="1.1232569112672171"/>
    <n v="9"/>
    <x v="2"/>
  </r>
  <r>
    <d v="2023-01-21T14:00:00"/>
    <n v="29.281668006312842"/>
    <n v="52.70267844796512"/>
    <n v="873.55754818751586"/>
    <n v="1.416603127554775"/>
    <n v="0.6526618821199992"/>
    <n v="14"/>
    <x v="1"/>
  </r>
  <r>
    <d v="2023-10-21T20:00:00"/>
    <n v="26.205072571476389"/>
    <n v="43.834590253367907"/>
    <n v="694.71710844872518"/>
    <n v="3.0324278339330628"/>
    <n v="0.73652945793590485"/>
    <n v="20"/>
    <x v="0"/>
  </r>
  <r>
    <d v="2023-03-22T23:00:00"/>
    <n v="20.85424292971144"/>
    <n v="58.394790974254882"/>
    <n v="544.14595804802275"/>
    <n v="1.1612788513076451"/>
    <n v="0.92313689713633484"/>
    <n v="23"/>
    <x v="0"/>
  </r>
  <r>
    <d v="2023-02-15T05:00:00"/>
    <n v="20.679829160509041"/>
    <n v="57.78474447915498"/>
    <n v="857.90193488777766"/>
    <n v="1.643187287625602"/>
    <n v="0.9740471027030374"/>
    <n v="5"/>
    <x v="0"/>
  </r>
  <r>
    <d v="2023-08-03T02:00:00"/>
    <n v="29.823142123446811"/>
    <n v="64.004298129390037"/>
    <n v="625.88849216675953"/>
    <n v="1.5296253855445341"/>
    <n v="0.86338304039727598"/>
    <n v="2"/>
    <x v="0"/>
  </r>
  <r>
    <d v="2023-05-23T12:00:00"/>
    <n v="23.99359386044782"/>
    <n v="69.742342301211195"/>
    <n v="168.40218979656589"/>
    <n v="2.995839616913972"/>
    <n v="0.26604685836297992"/>
    <n v="12"/>
    <x v="2"/>
  </r>
  <r>
    <d v="2023-12-03T15:00:00"/>
    <n v="25.874588318505719"/>
    <n v="61.98255720089746"/>
    <n v="822.34729608803264"/>
    <n v="2.3129456222565539"/>
    <n v="0.40237304918106659"/>
    <n v="15"/>
    <x v="1"/>
  </r>
  <r>
    <d v="2023-07-21T20:00:00"/>
    <n v="24.315860696701929"/>
    <n v="35.661958887095601"/>
    <n v="861.03130493631022"/>
    <n v="3.898703202542106"/>
    <n v="1.037382802427723"/>
    <n v="20"/>
    <x v="0"/>
  </r>
  <r>
    <d v="2023-04-14T23:00:00"/>
    <n v="21.58896438494607"/>
    <n v="60.505711798275968"/>
    <n v="143.26848653897571"/>
    <n v="1.4327089895479681"/>
    <n v="0.83445788743795624"/>
    <n v="23"/>
    <x v="0"/>
  </r>
  <r>
    <d v="2023-06-17T21:00:00"/>
    <n v="21.255517030509338"/>
    <n v="52.675981535439021"/>
    <n v="793.37428475280262"/>
    <n v="2.2226477676219689"/>
    <n v="1.9937331879557809"/>
    <n v="21"/>
    <x v="0"/>
  </r>
  <r>
    <d v="2023-09-01T13:00:00"/>
    <n v="22.12696152624958"/>
    <n v="52.52724963810995"/>
    <n v="982.77298397719619"/>
    <n v="2.1947913807349271"/>
    <n v="1.5622770571951199"/>
    <n v="13"/>
    <x v="1"/>
  </r>
  <r>
    <d v="2023-04-09T01:00:00"/>
    <n v="26.053378112295551"/>
    <n v="43.489825824994149"/>
    <n v="811.65979695065619"/>
    <n v="3.98915739594768"/>
    <n v="1.207417409373267"/>
    <n v="1"/>
    <x v="0"/>
  </r>
  <r>
    <d v="2023-09-01T19:00:00"/>
    <n v="25.465335873757589"/>
    <n v="36.429319233351457"/>
    <n v="458.09151063398087"/>
    <n v="4.5190982884028532"/>
    <n v="1.1408866104791591"/>
    <n v="19"/>
    <x v="0"/>
  </r>
  <r>
    <d v="2023-12-14T11:00:00"/>
    <n v="23.285884322865051"/>
    <n v="36.922077647216867"/>
    <n v="745.95642754709047"/>
    <n v="2.9708590153296139"/>
    <n v="0.19499238368055799"/>
    <n v="11"/>
    <x v="2"/>
  </r>
  <r>
    <d v="2023-12-01T15:00:00"/>
    <n v="20.441742397081679"/>
    <n v="32.303980250920233"/>
    <n v="362.95679833784828"/>
    <n v="3.2467086108755852"/>
    <n v="1.3857899126122271"/>
    <n v="15"/>
    <x v="1"/>
  </r>
  <r>
    <d v="2023-10-12T10:00:00"/>
    <n v="23.240280501122289"/>
    <n v="62.213992997969648"/>
    <n v="691.97192596087962"/>
    <n v="4.1875902771174722"/>
    <n v="1.174317332577282"/>
    <n v="10"/>
    <x v="2"/>
  </r>
  <r>
    <d v="2023-06-12T10:00:00"/>
    <n v="23.98303323652403"/>
    <n v="59.757937119372443"/>
    <n v="565.76885379060923"/>
    <n v="4.4848381942487583"/>
    <n v="1.0802102978158581"/>
    <n v="10"/>
    <x v="2"/>
  </r>
  <r>
    <d v="2023-03-01T23:00:00"/>
    <n v="27.56423782934068"/>
    <n v="64.269144310388427"/>
    <n v="696.0046666860469"/>
    <n v="4.0549200080308587"/>
    <n v="1.556244892584153"/>
    <n v="23"/>
    <x v="0"/>
  </r>
  <r>
    <d v="2023-11-24T23:00:00"/>
    <n v="27.37483989493423"/>
    <n v="58.165725201965707"/>
    <n v="472.45221097824532"/>
    <n v="2.035986589592806"/>
    <n v="1.587681755965539"/>
    <n v="23"/>
    <x v="0"/>
  </r>
  <r>
    <d v="2023-01-27T16:00:00"/>
    <n v="22.214080965360321"/>
    <n v="36.711440122347"/>
    <n v="238.7507986777992"/>
    <n v="1.2918736488219491"/>
    <n v="0.51171223969629298"/>
    <n v="16"/>
    <x v="1"/>
  </r>
  <r>
    <d v="2023-09-05T17:00:00"/>
    <n v="22.276739519942488"/>
    <n v="59.438360792127803"/>
    <n v="478.93873951544418"/>
    <n v="1.843677385870419"/>
    <n v="0.45083351087851398"/>
    <n v="17"/>
    <x v="1"/>
  </r>
  <r>
    <d v="2023-05-03T16:00:00"/>
    <n v="26.2788282738777"/>
    <n v="52.314077261444183"/>
    <n v="529.6682066246459"/>
    <n v="3.4782654489726261"/>
    <n v="1.353366419623133"/>
    <n v="16"/>
    <x v="1"/>
  </r>
  <r>
    <d v="2023-11-21T08:00:00"/>
    <n v="26.5177634739529"/>
    <n v="34.346918132621369"/>
    <n v="710.07557643048654"/>
    <n v="3.1955478653146629"/>
    <n v="0.72852446357612277"/>
    <n v="8"/>
    <x v="2"/>
  </r>
  <r>
    <d v="2023-04-17T21:00:00"/>
    <n v="25.611027760705191"/>
    <n v="66.204893984212873"/>
    <n v="356.06232601172422"/>
    <n v="3.0312990197972769"/>
    <n v="0.9640803909763328"/>
    <n v="21"/>
    <x v="0"/>
  </r>
  <r>
    <d v="2023-10-27T19:00:00"/>
    <n v="21.119713803277939"/>
    <n v="66.092684106444409"/>
    <n v="681.08569876266927"/>
    <n v="1.292727183003588"/>
    <n v="0.18431692072762809"/>
    <n v="19"/>
    <x v="0"/>
  </r>
  <r>
    <d v="2023-11-23T12:00:00"/>
    <n v="22.857201483915901"/>
    <n v="55.114568186707558"/>
    <n v="310.45374535370229"/>
    <n v="2.6434780638979212"/>
    <n v="0.9035839883324035"/>
    <n v="12"/>
    <x v="2"/>
  </r>
  <r>
    <d v="2023-07-11T07:00:00"/>
    <n v="20.317032114610729"/>
    <n v="46.785648791763172"/>
    <n v="788.41780991125438"/>
    <n v="1.1047569235097321"/>
    <n v="1.889513043658827"/>
    <n v="7"/>
    <x v="2"/>
  </r>
  <r>
    <d v="2023-12-23T05:00:00"/>
    <n v="27.615941474726529"/>
    <n v="39.516964128438993"/>
    <n v="749.90043950902373"/>
    <n v="3.6135607937064571"/>
    <n v="1.4065703326836509"/>
    <n v="5"/>
    <x v="0"/>
  </r>
  <r>
    <d v="2023-07-03T07:00:00"/>
    <n v="28.065034273644851"/>
    <n v="33.90402102792077"/>
    <n v="205.9734765186428"/>
    <n v="1.983481241247429"/>
    <n v="1.6568704456362759"/>
    <n v="7"/>
    <x v="2"/>
  </r>
  <r>
    <d v="2023-11-21T05:00:00"/>
    <n v="29.204805994112249"/>
    <n v="62.239979956679107"/>
    <n v="633.3894134770087"/>
    <n v="3.8281988409673251"/>
    <n v="1.292296957159323"/>
    <n v="5"/>
    <x v="0"/>
  </r>
  <r>
    <d v="2023-02-15T12:00:00"/>
    <n v="20.87915566784045"/>
    <n v="68.670123114308041"/>
    <n v="179.2450242366431"/>
    <n v="3.1289912116355509"/>
    <n v="1.2117059795776419"/>
    <n v="12"/>
    <x v="2"/>
  </r>
  <r>
    <d v="2023-08-20T23:00:00"/>
    <n v="29.062129562245371"/>
    <n v="30.561625284928951"/>
    <n v="972.21188669574622"/>
    <n v="1.2166959645425219"/>
    <n v="1.9446244137901729"/>
    <n v="23"/>
    <x v="0"/>
  </r>
  <r>
    <d v="2023-12-08T19:00:00"/>
    <n v="29.184252230271859"/>
    <n v="49.174451479401768"/>
    <n v="405.31566541955272"/>
    <n v="1.5568551274612361"/>
    <n v="1.0304563687619599"/>
    <n v="19"/>
    <x v="0"/>
  </r>
  <r>
    <d v="2023-05-29T21:00:00"/>
    <n v="29.977059924321839"/>
    <n v="34.241431503922627"/>
    <n v="118.2350346830931"/>
    <n v="4.647110020850806"/>
    <n v="1.6015737297069541"/>
    <n v="21"/>
    <x v="0"/>
  </r>
  <r>
    <d v="2023-04-23T13:00:00"/>
    <n v="27.778885680443029"/>
    <n v="46.7415616760142"/>
    <n v="553.25354385881906"/>
    <n v="4.5031395574750626"/>
    <n v="0.53968082613729118"/>
    <n v="13"/>
    <x v="1"/>
  </r>
  <r>
    <d v="2023-10-31T08:00:00"/>
    <n v="22.62637835641053"/>
    <n v="53.224511782173387"/>
    <n v="209.67640176077049"/>
    <n v="4.2630165754086233"/>
    <n v="0.29372615575930627"/>
    <n v="8"/>
    <x v="2"/>
  </r>
  <r>
    <d v="2023-11-20T07:00:00"/>
    <n v="22.645588697189378"/>
    <n v="47.164026410637042"/>
    <n v="685.84853091404034"/>
    <n v="3.2846108080324758"/>
    <n v="0.44452128496179549"/>
    <n v="7"/>
    <x v="2"/>
  </r>
  <r>
    <d v="2023-01-12T20:00:00"/>
    <n v="26.882168777089941"/>
    <n v="30.688939323166331"/>
    <n v="757.90547734543861"/>
    <n v="2.4407571727687301"/>
    <n v="0.75037782205693604"/>
    <n v="20"/>
    <x v="0"/>
  </r>
  <r>
    <d v="2023-06-26T07:00:00"/>
    <n v="26.79732661662171"/>
    <n v="69.513790704299012"/>
    <n v="873.33937598155444"/>
    <n v="4.8350557826327636"/>
    <n v="0.97529742551283083"/>
    <n v="7"/>
    <x v="2"/>
  </r>
  <r>
    <d v="2023-10-20T03:00:00"/>
    <n v="26.60329200595471"/>
    <n v="67.032170415669839"/>
    <n v="899.77915173679924"/>
    <n v="4.6377632014044163"/>
    <n v="1.7898353711820649"/>
    <n v="3"/>
    <x v="0"/>
  </r>
  <r>
    <d v="2023-06-27T11:00:00"/>
    <n v="23.531208682404959"/>
    <n v="60.894924309481183"/>
    <n v="378.50458266934407"/>
    <n v="1.068109272065237"/>
    <n v="1.225988509381903"/>
    <n v="11"/>
    <x v="2"/>
  </r>
  <r>
    <d v="2023-11-01T10:00:00"/>
    <n v="25.19797278280457"/>
    <n v="46.027235954234243"/>
    <n v="421.98376825086149"/>
    <n v="1.4842644703464261"/>
    <n v="1.3209591762404791"/>
    <n v="10"/>
    <x v="2"/>
  </r>
  <r>
    <d v="2023-09-21T03:00:00"/>
    <n v="23.014974791337991"/>
    <n v="57.579607256918472"/>
    <n v="977.02560580657121"/>
    <n v="3.172196965400266"/>
    <n v="0.83140318892266052"/>
    <n v="3"/>
    <x v="0"/>
  </r>
  <r>
    <d v="2023-12-23T20:00:00"/>
    <n v="25.967907154163189"/>
    <n v="58.390735058371703"/>
    <n v="490.52964008672279"/>
    <n v="3.7621011251861889"/>
    <n v="1.372277883382083"/>
    <n v="20"/>
    <x v="0"/>
  </r>
  <r>
    <d v="2023-01-14T14:00:00"/>
    <n v="27.724021772527099"/>
    <n v="43.610185647907919"/>
    <n v="464.23527965512869"/>
    <n v="2.8593542512268519"/>
    <n v="0.86782029696743079"/>
    <n v="14"/>
    <x v="1"/>
  </r>
  <r>
    <d v="2023-08-10T14:00:00"/>
    <n v="26.98696279734644"/>
    <n v="31.587460558369589"/>
    <n v="932.82456872265413"/>
    <n v="1.7282672021397441"/>
    <n v="1.2553313186601449"/>
    <n v="14"/>
    <x v="1"/>
  </r>
  <r>
    <d v="2023-05-31T16:00:00"/>
    <n v="24.325053282848049"/>
    <n v="54.892580683840627"/>
    <n v="268.5720968399055"/>
    <n v="2.6811222268083261"/>
    <n v="1.118039009078676"/>
    <n v="16"/>
    <x v="1"/>
  </r>
  <r>
    <d v="2023-02-09T14:00:00"/>
    <n v="25.247284010563011"/>
    <n v="67.923349810991198"/>
    <n v="526.66819705079115"/>
    <n v="1.821447033706808"/>
    <n v="0.68502242990377471"/>
    <n v="14"/>
    <x v="1"/>
  </r>
  <r>
    <d v="2023-02-04T22:00:00"/>
    <n v="27.72418496659359"/>
    <n v="59.911491594618518"/>
    <n v="536.88337664874609"/>
    <n v="4.216803270822"/>
    <n v="0.25884471084429239"/>
    <n v="22"/>
    <x v="0"/>
  </r>
  <r>
    <d v="2023-12-02T23:00:00"/>
    <n v="22.328529091533611"/>
    <n v="39.119495545212622"/>
    <n v="768.27543282418617"/>
    <n v="3.1688913396409939"/>
    <n v="0.33294745008857668"/>
    <n v="23"/>
    <x v="0"/>
  </r>
  <r>
    <d v="2023-05-22T05:00:00"/>
    <n v="22.212985990015479"/>
    <n v="52.23241205765683"/>
    <n v="491.87215222015539"/>
    <n v="2.6354101547690418"/>
    <n v="1.192320727100306"/>
    <n v="5"/>
    <x v="0"/>
  </r>
  <r>
    <d v="2023-01-20T05:00:00"/>
    <n v="24.84986813136037"/>
    <n v="45.608589244765909"/>
    <n v="876.8999008494111"/>
    <n v="1.566664588810567"/>
    <n v="0.23891171323240731"/>
    <n v="5"/>
    <x v="0"/>
  </r>
  <r>
    <d v="2023-06-17T03:00:00"/>
    <n v="24.941364782806669"/>
    <n v="51.860021185905431"/>
    <n v="703.22228319000237"/>
    <n v="3.0577524594491869"/>
    <n v="0.96080558026268315"/>
    <n v="3"/>
    <x v="0"/>
  </r>
  <r>
    <d v="2023-02-25T19:00:00"/>
    <n v="20.234727479320171"/>
    <n v="58.962379618164391"/>
    <n v="937.87077931551721"/>
    <n v="3.2655613758704081"/>
    <n v="1.808215781329751"/>
    <n v="19"/>
    <x v="0"/>
  </r>
  <r>
    <d v="2023-10-14T22:00:00"/>
    <n v="25.819463389001061"/>
    <n v="49.468686184382392"/>
    <n v="335.81906959852768"/>
    <n v="3.6124189610293662"/>
    <n v="1.207014240544616"/>
    <n v="22"/>
    <x v="0"/>
  </r>
  <r>
    <d v="2023-02-20T02:00:00"/>
    <n v="24.17741432300565"/>
    <n v="66.492650448235267"/>
    <n v="831.16225734262412"/>
    <n v="3.8222200792666849"/>
    <n v="1.9556596227433221"/>
    <n v="2"/>
    <x v="0"/>
  </r>
  <r>
    <d v="2023-08-18T22:00:00"/>
    <n v="25.763797049856361"/>
    <n v="57.684587516490147"/>
    <n v="205.0958880631608"/>
    <n v="1.1673110279745911"/>
    <n v="0.64697356344434021"/>
    <n v="22"/>
    <x v="0"/>
  </r>
  <r>
    <d v="2023-08-22T04:00:00"/>
    <n v="29.14823673939074"/>
    <n v="44.092753657804558"/>
    <n v="821.73708858343878"/>
    <n v="2.5111887491697908"/>
    <n v="1.3348355236091709"/>
    <n v="4"/>
    <x v="0"/>
  </r>
  <r>
    <d v="2023-11-28T07:00:00"/>
    <n v="23.331180830392451"/>
    <n v="54.493353029570933"/>
    <n v="863.85631559227863"/>
    <n v="2.4881506901062891"/>
    <n v="1.876034301631273"/>
    <n v="7"/>
    <x v="2"/>
  </r>
  <r>
    <d v="2023-10-27T23:00:00"/>
    <n v="21.07835844247948"/>
    <n v="48.21506887781365"/>
    <n v="465.93683475886343"/>
    <n v="1.6819666672807749"/>
    <n v="0.76386808004503737"/>
    <n v="23"/>
    <x v="0"/>
  </r>
  <r>
    <d v="2023-01-17T05:00:00"/>
    <n v="22.065186887895759"/>
    <n v="61.681233557805911"/>
    <n v="730.01245279770922"/>
    <n v="2.288871696507055"/>
    <n v="1.11380304034148"/>
    <n v="5"/>
    <x v="0"/>
  </r>
  <r>
    <d v="2023-10-09T10:00:00"/>
    <n v="23.065370579122181"/>
    <n v="30.297983105206061"/>
    <n v="971.83220920644317"/>
    <n v="1.176551232759159"/>
    <n v="1.709639095158128"/>
    <n v="10"/>
    <x v="2"/>
  </r>
  <r>
    <d v="2023-03-06T01:00:00"/>
    <n v="28.634700959530981"/>
    <n v="53.422620469890731"/>
    <n v="266.44051226439512"/>
    <n v="2.8485729451170192"/>
    <n v="0.72953590142060287"/>
    <n v="1"/>
    <x v="0"/>
  </r>
  <r>
    <d v="2023-12-20T19:00:00"/>
    <n v="25.490742921137301"/>
    <n v="30.93965604632772"/>
    <n v="656.32686244378795"/>
    <n v="3.0552766895062091"/>
    <n v="0.1170117206895302"/>
    <n v="19"/>
    <x v="0"/>
  </r>
  <r>
    <d v="2023-12-17T19:00:00"/>
    <n v="29.95082066501174"/>
    <n v="69.173375842691229"/>
    <n v="142.68747768206879"/>
    <n v="2.9568118652184152"/>
    <n v="1.981428485043826"/>
    <n v="19"/>
    <x v="0"/>
  </r>
  <r>
    <d v="2023-06-16T02:00:00"/>
    <n v="22.850320159405062"/>
    <n v="50.3013016609018"/>
    <n v="404.74330752360629"/>
    <n v="1.567936332843954"/>
    <n v="0.87163289552174705"/>
    <n v="2"/>
    <x v="0"/>
  </r>
  <r>
    <d v="2023-08-07T11:00:00"/>
    <n v="20.68726816118869"/>
    <n v="41.151980245000537"/>
    <n v="227.06810571364531"/>
    <n v="1.4234600626609559"/>
    <n v="0.30800249479255692"/>
    <n v="11"/>
    <x v="2"/>
  </r>
  <r>
    <d v="2023-02-20T18:00:00"/>
    <n v="23.011881362852879"/>
    <n v="34.427980565329129"/>
    <n v="583.10469247059689"/>
    <n v="4.0366574814202938"/>
    <n v="1.4984521880449251"/>
    <n v="18"/>
    <x v="1"/>
  </r>
  <r>
    <d v="2023-08-05T20:00:00"/>
    <n v="29.92594932447977"/>
    <n v="43.66780851111811"/>
    <n v="642.89427090545769"/>
    <n v="3.9955021575325769"/>
    <n v="0.71761304203654019"/>
    <n v="20"/>
    <x v="0"/>
  </r>
  <r>
    <d v="2023-01-31T22:00:00"/>
    <n v="27.430991647381308"/>
    <n v="55.363168887242779"/>
    <n v="990.46519122711197"/>
    <n v="2.187857478436344"/>
    <n v="0.4200677887546761"/>
    <n v="22"/>
    <x v="0"/>
  </r>
  <r>
    <d v="2023-04-04T20:00:00"/>
    <n v="29.150613496497851"/>
    <n v="68.915532845041014"/>
    <n v="970.12223651697695"/>
    <n v="3.7201118164862899"/>
    <n v="0.32513198115379721"/>
    <n v="20"/>
    <x v="0"/>
  </r>
  <r>
    <d v="2023-09-22T00:00:00"/>
    <n v="25.9484473370896"/>
    <n v="33.776013540912892"/>
    <n v="894.39520662303255"/>
    <n v="4.7660599447670862"/>
    <n v="1.425389868278143"/>
    <n v="0"/>
    <x v="0"/>
  </r>
  <r>
    <d v="2023-08-16T19:00:00"/>
    <n v="22.753634503798239"/>
    <n v="38.409479949356388"/>
    <n v="610.7331561908602"/>
    <n v="4.3560956097497687"/>
    <n v="1.987198208013238"/>
    <n v="19"/>
    <x v="0"/>
  </r>
  <r>
    <d v="2023-06-07T22:00:00"/>
    <n v="29.54431378957381"/>
    <n v="41.077733391381699"/>
    <n v="897.45656621261071"/>
    <n v="2.1816742711138861"/>
    <n v="0.84463789621656238"/>
    <n v="22"/>
    <x v="0"/>
  </r>
  <r>
    <d v="2023-04-24T02:00:00"/>
    <n v="22.291564523747919"/>
    <n v="60.640165038238109"/>
    <n v="419.42603544162739"/>
    <n v="1.5329217228627621"/>
    <n v="1.551103355673946"/>
    <n v="2"/>
    <x v="0"/>
  </r>
  <r>
    <d v="2023-05-27T05:00:00"/>
    <n v="23.971140340328141"/>
    <n v="33.158936409895183"/>
    <n v="280.83812664722529"/>
    <n v="1.2049114595556389"/>
    <n v="1.343056608007239"/>
    <n v="5"/>
    <x v="0"/>
  </r>
  <r>
    <d v="2023-12-09T09:00:00"/>
    <n v="22.933878070194421"/>
    <n v="65.775893647322079"/>
    <n v="573.4408483276211"/>
    <n v="3.014913331205936"/>
    <n v="0.89982686779353194"/>
    <n v="9"/>
    <x v="2"/>
  </r>
  <r>
    <d v="2023-08-18T18:00:00"/>
    <n v="26.434590492433191"/>
    <n v="38.759479880222962"/>
    <n v="578.08836850212708"/>
    <n v="2.8301452322892731"/>
    <n v="0.19297448714899729"/>
    <n v="18"/>
    <x v="1"/>
  </r>
  <r>
    <d v="2023-07-17T05:00:00"/>
    <n v="24.180097259576758"/>
    <n v="58.721103870917808"/>
    <n v="919.06447514241722"/>
    <n v="4.0045534046389264"/>
    <n v="0.87791501330782473"/>
    <n v="5"/>
    <x v="0"/>
  </r>
  <r>
    <d v="2023-04-05T23:00:00"/>
    <n v="29.57108208344523"/>
    <n v="60.422070580667537"/>
    <n v="105.16262276987359"/>
    <n v="4.0734157431723386"/>
    <n v="0.15560479951059389"/>
    <n v="23"/>
    <x v="0"/>
  </r>
  <r>
    <d v="2023-12-17T05:00:00"/>
    <n v="29.674200787195868"/>
    <n v="65.723348367857724"/>
    <n v="869.9963074856845"/>
    <n v="1.2799150042752869"/>
    <n v="1.9092591235198459"/>
    <n v="5"/>
    <x v="0"/>
  </r>
  <r>
    <d v="2023-10-11T05:00:00"/>
    <n v="20.969140180143651"/>
    <n v="38.301556759329763"/>
    <n v="647.41194718181828"/>
    <n v="4.8857266066368403"/>
    <n v="0.87783759529353467"/>
    <n v="5"/>
    <x v="0"/>
  </r>
  <r>
    <d v="2023-01-27T00:00:00"/>
    <n v="29.283330925386881"/>
    <n v="58.930707100014551"/>
    <n v="945.68004712297034"/>
    <n v="2.031656613900684"/>
    <n v="1.2005563559251009"/>
    <n v="0"/>
    <x v="0"/>
  </r>
  <r>
    <d v="2023-09-28T03:00:00"/>
    <n v="27.979960151715471"/>
    <n v="44.123039001287978"/>
    <n v="770.69433888358003"/>
    <n v="2.496409299721793"/>
    <n v="1.8873962721262689"/>
    <n v="3"/>
    <x v="0"/>
  </r>
  <r>
    <d v="2023-06-11T22:00:00"/>
    <n v="27.123374361336769"/>
    <n v="45.531483880111942"/>
    <n v="429.633505976631"/>
    <n v="3.3051481262290392"/>
    <n v="1.1944467682056821"/>
    <n v="22"/>
    <x v="0"/>
  </r>
  <r>
    <d v="2023-07-15T03:00:00"/>
    <n v="23.627859813533892"/>
    <n v="50.332482273075762"/>
    <n v="671.31924109061708"/>
    <n v="1.1531304779164031"/>
    <n v="0.42742496294098442"/>
    <n v="3"/>
    <x v="0"/>
  </r>
  <r>
    <d v="2023-10-27T21:00:00"/>
    <n v="26.795572398649931"/>
    <n v="35.246949062086223"/>
    <n v="432.74769771676449"/>
    <n v="3.8515367852425508"/>
    <n v="1.908065799846824"/>
    <n v="21"/>
    <x v="0"/>
  </r>
  <r>
    <d v="2023-10-07T15:00:00"/>
    <n v="28.106664339207679"/>
    <n v="44.348981144906183"/>
    <n v="929.40893478560793"/>
    <n v="1.768799402631815"/>
    <n v="0.4570857537398656"/>
    <n v="15"/>
    <x v="1"/>
  </r>
  <r>
    <d v="2023-01-22T01:00:00"/>
    <n v="28.304247459573009"/>
    <n v="67.619574042555939"/>
    <n v="117.71628239477251"/>
    <n v="4.6679962725835829"/>
    <n v="0.34347767268723228"/>
    <n v="1"/>
    <x v="0"/>
  </r>
  <r>
    <d v="2023-07-25T14:00:00"/>
    <n v="28.057756185030531"/>
    <n v="37.225149128629148"/>
    <n v="599.31112398667892"/>
    <n v="1.9869535500271149"/>
    <n v="0.78865773173262421"/>
    <n v="14"/>
    <x v="1"/>
  </r>
  <r>
    <d v="2023-12-15T13:00:00"/>
    <n v="23.200235900597491"/>
    <n v="42.606558081298431"/>
    <n v="556.59825203800153"/>
    <n v="2.6532306895262301"/>
    <n v="0.92621658844861321"/>
    <n v="13"/>
    <x v="1"/>
  </r>
  <r>
    <d v="2023-07-25T21:00:00"/>
    <n v="21.85012992024334"/>
    <n v="62.291133668331227"/>
    <n v="271.12560681210778"/>
    <n v="1.8973004938895319"/>
    <n v="1.9570077616036461"/>
    <n v="21"/>
    <x v="0"/>
  </r>
  <r>
    <d v="2023-05-14T14:00:00"/>
    <n v="25.43775350622909"/>
    <n v="39.999147703141738"/>
    <n v="485.33199570052722"/>
    <n v="3.584396283688446"/>
    <n v="1.1527043351635511"/>
    <n v="14"/>
    <x v="1"/>
  </r>
  <r>
    <d v="2023-02-11T09:00:00"/>
    <n v="22.542260209044219"/>
    <n v="36.591616916442781"/>
    <n v="367.20282283923638"/>
    <n v="2.5092108162886348"/>
    <n v="1.631097142936887"/>
    <n v="9"/>
    <x v="2"/>
  </r>
  <r>
    <d v="2023-05-21T19:00:00"/>
    <n v="27.849851823313909"/>
    <n v="37.6205796217574"/>
    <n v="703.36885749753208"/>
    <n v="1.956700582076605"/>
    <n v="1.5610690889405621"/>
    <n v="19"/>
    <x v="0"/>
  </r>
  <r>
    <d v="2023-11-10T02:00:00"/>
    <n v="20.446699865237228"/>
    <n v="69.427056591021142"/>
    <n v="777.81585543192375"/>
    <n v="4.3756853745890059"/>
    <n v="0.86422987007496954"/>
    <n v="2"/>
    <x v="0"/>
  </r>
  <r>
    <d v="2023-02-12T13:00:00"/>
    <n v="24.254085476545281"/>
    <n v="46.532304403361948"/>
    <n v="794.25611922449411"/>
    <n v="3.811780452727406"/>
    <n v="0.2418335495867758"/>
    <n v="13"/>
    <x v="1"/>
  </r>
  <r>
    <d v="2023-07-03T19:00:00"/>
    <n v="27.785880290226881"/>
    <n v="45.838693170498424"/>
    <n v="454.91673242997808"/>
    <n v="2.88659470078845"/>
    <n v="0.32748933678667158"/>
    <n v="19"/>
    <x v="0"/>
  </r>
  <r>
    <d v="2023-11-18T06:00:00"/>
    <n v="20.805591040876479"/>
    <n v="60.280720667998203"/>
    <n v="272.25042233397761"/>
    <n v="2.143741579610519"/>
    <n v="1.986162815012513"/>
    <n v="6"/>
    <x v="2"/>
  </r>
  <r>
    <d v="2023-03-02T21:00:00"/>
    <n v="26.869791452858539"/>
    <n v="32.50958706930615"/>
    <n v="364.64509870704148"/>
    <n v="4.4891724070948564"/>
    <n v="1.7338959999055179"/>
    <n v="21"/>
    <x v="0"/>
  </r>
  <r>
    <d v="2023-02-01T18:00:00"/>
    <n v="22.310632564973051"/>
    <n v="36.781513983185107"/>
    <n v="581.26069895204341"/>
    <n v="2.677535260695461"/>
    <n v="0.75686469459790129"/>
    <n v="18"/>
    <x v="1"/>
  </r>
  <r>
    <d v="2023-10-18T22:00:00"/>
    <n v="21.273938927989171"/>
    <n v="58.795204062949843"/>
    <n v="653.77234909075196"/>
    <n v="2.8615869299377898"/>
    <n v="1.6822825385243281"/>
    <n v="22"/>
    <x v="0"/>
  </r>
  <r>
    <d v="2023-12-12T21:00:00"/>
    <n v="23.07886854583839"/>
    <n v="42.78605067754858"/>
    <n v="815.38567996363543"/>
    <n v="1.7679720703227111"/>
    <n v="1.8097480331641209"/>
    <n v="21"/>
    <x v="0"/>
  </r>
  <r>
    <d v="2023-07-17T21:00:00"/>
    <n v="20.193362479941779"/>
    <n v="58.067132423286317"/>
    <n v="747.76275236065794"/>
    <n v="4.335681714224032"/>
    <n v="1.8544506800501319"/>
    <n v="21"/>
    <x v="0"/>
  </r>
  <r>
    <d v="2023-04-05T05:00:00"/>
    <n v="26.300224972868239"/>
    <n v="30.91441375919965"/>
    <n v="256.93291593231999"/>
    <n v="3.1996202935365772"/>
    <n v="1.762891385225549"/>
    <n v="5"/>
    <x v="0"/>
  </r>
  <r>
    <d v="2023-05-30T20:00:00"/>
    <n v="23.32908882890095"/>
    <n v="53.614384750054853"/>
    <n v="769.59188989556799"/>
    <n v="3.6275909824300752"/>
    <n v="0.4538178101679966"/>
    <n v="20"/>
    <x v="0"/>
  </r>
  <r>
    <d v="2023-04-30T04:00:00"/>
    <n v="29.937111994613989"/>
    <n v="51.769829949327161"/>
    <n v="203.5996340938953"/>
    <n v="2.6752689191835302"/>
    <n v="1.607583588001688"/>
    <n v="4"/>
    <x v="0"/>
  </r>
  <r>
    <d v="2023-09-30T02:00:00"/>
    <n v="20.978393469456432"/>
    <n v="35.794255013150703"/>
    <n v="925.9790255266945"/>
    <n v="1.077509533509915"/>
    <n v="0.20570679938127881"/>
    <n v="2"/>
    <x v="0"/>
  </r>
  <r>
    <d v="2023-01-27T16:00:00"/>
    <n v="28.948842758420369"/>
    <n v="34.749434509721503"/>
    <n v="720.79305350196671"/>
    <n v="2.2020472699300861"/>
    <n v="1.632401387812066"/>
    <n v="16"/>
    <x v="1"/>
  </r>
  <r>
    <d v="2023-12-17T05:00:00"/>
    <n v="24.97957748689128"/>
    <n v="67.126167932145535"/>
    <n v="200.72202984094531"/>
    <n v="1.082688651072865"/>
    <n v="1.1961265265123939"/>
    <n v="5"/>
    <x v="0"/>
  </r>
  <r>
    <d v="2023-05-21T14:00:00"/>
    <n v="21.177007190930109"/>
    <n v="50.200677533165262"/>
    <n v="852.92006559720073"/>
    <n v="1.119714151376622"/>
    <n v="1.4963788846114261"/>
    <n v="14"/>
    <x v="1"/>
  </r>
  <r>
    <d v="2023-03-21T23:00:00"/>
    <n v="28.561173411486969"/>
    <n v="31.996021171014789"/>
    <n v="710.57702314306493"/>
    <n v="4.9405137311643559"/>
    <n v="1.144440567171328"/>
    <n v="23"/>
    <x v="0"/>
  </r>
  <r>
    <d v="2023-02-23T00:00:00"/>
    <n v="21.11045563651852"/>
    <n v="35.942313575697369"/>
    <n v="740.70741407927608"/>
    <n v="1.378986832324935"/>
    <n v="1.2352860867462421"/>
    <n v="0"/>
    <x v="0"/>
  </r>
  <r>
    <d v="2023-03-01T11:00:00"/>
    <n v="26.458592807629721"/>
    <n v="56.90211282413874"/>
    <n v="538.68598827011374"/>
    <n v="2.8039875545880841"/>
    <n v="0.1703406105469171"/>
    <n v="11"/>
    <x v="2"/>
  </r>
  <r>
    <d v="2023-07-24T14:00:00"/>
    <n v="22.452175626097141"/>
    <n v="49.07057771156262"/>
    <n v="644.23469332890056"/>
    <n v="4.3548779642650111"/>
    <n v="0.1597659810558385"/>
    <n v="14"/>
    <x v="1"/>
  </r>
  <r>
    <d v="2023-07-24T00:00:00"/>
    <n v="24.491175442063309"/>
    <n v="53.906511452911047"/>
    <n v="485.30226008148742"/>
    <n v="2.6862015510939252"/>
    <n v="1.643048147390626"/>
    <n v="0"/>
    <x v="0"/>
  </r>
  <r>
    <d v="2023-12-22T23:00:00"/>
    <n v="25.73019923065436"/>
    <n v="48.331003368408673"/>
    <n v="610.7586017391825"/>
    <n v="1.995009200768874"/>
    <n v="0.65300709801960488"/>
    <n v="23"/>
    <x v="0"/>
  </r>
  <r>
    <d v="2023-03-31T01:00:00"/>
    <n v="29.196754595876499"/>
    <n v="67.020598901005371"/>
    <n v="810.81204631340859"/>
    <n v="2.656006322261931"/>
    <n v="1.63370709128033"/>
    <n v="1"/>
    <x v="0"/>
  </r>
  <r>
    <d v="2023-11-03T07:00:00"/>
    <n v="22.845137604876118"/>
    <n v="63.00994910763189"/>
    <n v="279.78797019604411"/>
    <n v="4.2955554674800771"/>
    <n v="1.4366578339463569"/>
    <n v="7"/>
    <x v="2"/>
  </r>
  <r>
    <d v="2023-01-16T13:00:00"/>
    <n v="23.876948465282911"/>
    <n v="69.205779958914206"/>
    <n v="888.30643600912367"/>
    <n v="1.1795656928697491"/>
    <n v="1.173400562958848"/>
    <n v="13"/>
    <x v="1"/>
  </r>
  <r>
    <d v="2023-11-19T23:00:00"/>
    <n v="21.995957707912179"/>
    <n v="67.56931766854207"/>
    <n v="375.40813424706568"/>
    <n v="2.9551113083538891"/>
    <n v="0.29942577550309551"/>
    <n v="23"/>
    <x v="0"/>
  </r>
  <r>
    <d v="2023-04-20T11:00:00"/>
    <n v="23.436216353275039"/>
    <n v="59.147915946729647"/>
    <n v="232.80985777831461"/>
    <n v="1.7740238793898619"/>
    <n v="0.22548056775566749"/>
    <n v="11"/>
    <x v="2"/>
  </r>
  <r>
    <d v="2023-02-06T17:00:00"/>
    <n v="21.258118279219101"/>
    <n v="32.101216840855258"/>
    <n v="671.09415517123182"/>
    <n v="1.2410773177223069"/>
    <n v="0.82956482939230203"/>
    <n v="17"/>
    <x v="1"/>
  </r>
  <r>
    <d v="2023-01-24T14:00:00"/>
    <n v="25.48083396145411"/>
    <n v="69.964071066278933"/>
    <n v="571.9687743697275"/>
    <n v="4.1422179102180552"/>
    <n v="1.8579786008272019"/>
    <n v="14"/>
    <x v="1"/>
  </r>
  <r>
    <d v="2023-12-14T12:00:00"/>
    <n v="25.59231613789051"/>
    <n v="48.932747826346201"/>
    <n v="362.38014037484072"/>
    <n v="1.0579300666927891"/>
    <n v="0.52990029873023292"/>
    <n v="12"/>
    <x v="2"/>
  </r>
  <r>
    <d v="2023-02-18T03:00:00"/>
    <n v="26.233731362154568"/>
    <n v="32.439881425457337"/>
    <n v="665.35364955100556"/>
    <n v="2.6598317864753138"/>
    <n v="0.90225742104681927"/>
    <n v="3"/>
    <x v="0"/>
  </r>
  <r>
    <d v="2023-02-27T04:00:00"/>
    <n v="22.303523796379022"/>
    <n v="69.656932420105704"/>
    <n v="742.91668663969244"/>
    <n v="3.182011109922334"/>
    <n v="1.3192068119662239"/>
    <n v="4"/>
    <x v="0"/>
  </r>
  <r>
    <d v="2023-10-08T23:00:00"/>
    <n v="24.323556528541509"/>
    <n v="52.81506870485773"/>
    <n v="345.32920699208353"/>
    <n v="1.6915349309053671"/>
    <n v="1.0437335326286821"/>
    <n v="23"/>
    <x v="0"/>
  </r>
  <r>
    <d v="2023-05-30T06:00:00"/>
    <n v="20.414290874689559"/>
    <n v="48.360160909958807"/>
    <n v="204.97675641616809"/>
    <n v="4.5978266174205746"/>
    <n v="0.14768231262406051"/>
    <n v="6"/>
    <x v="2"/>
  </r>
  <r>
    <d v="2023-12-14T09:00:00"/>
    <n v="20.40256687607534"/>
    <n v="30.791577233322531"/>
    <n v="559.27460543289294"/>
    <n v="2.6347223096914769"/>
    <n v="1.421044359056715"/>
    <n v="9"/>
    <x v="2"/>
  </r>
  <r>
    <d v="2023-02-18T19:00:00"/>
    <n v="23.094628583880539"/>
    <n v="47.136046778260351"/>
    <n v="354.68138539416651"/>
    <n v="1.7284151898097679"/>
    <n v="1.8449745815737639"/>
    <n v="19"/>
    <x v="0"/>
  </r>
  <r>
    <d v="2023-11-03T16:00:00"/>
    <n v="24.891429511745521"/>
    <n v="37.330829887524771"/>
    <n v="392.70262689139889"/>
    <n v="3.4447182976448998"/>
    <n v="1.239419166548426"/>
    <n v="16"/>
    <x v="1"/>
  </r>
  <r>
    <d v="2023-06-24T23:00:00"/>
    <n v="26.929740181623131"/>
    <n v="58.757959686162977"/>
    <n v="544.57202988767006"/>
    <n v="3.557794766102774"/>
    <n v="1.2027840980127991"/>
    <n v="23"/>
    <x v="0"/>
  </r>
  <r>
    <d v="2023-03-15T13:00:00"/>
    <n v="27.586734650146219"/>
    <n v="30.314676100943029"/>
    <n v="758.08041907826657"/>
    <n v="2.554685705608005"/>
    <n v="1.687066659125964"/>
    <n v="13"/>
    <x v="1"/>
  </r>
  <r>
    <d v="2023-02-21T22:00:00"/>
    <n v="24.017809800459201"/>
    <n v="51.321427220264667"/>
    <n v="113.4639821590566"/>
    <n v="1.125873452969351"/>
    <n v="1.6823929669024369"/>
    <n v="22"/>
    <x v="0"/>
  </r>
  <r>
    <d v="2023-08-29T10:00:00"/>
    <n v="27.556064215953349"/>
    <n v="31.748648734603929"/>
    <n v="530.39563453349524"/>
    <n v="3.6465838789028768"/>
    <n v="0.45483740276115842"/>
    <n v="10"/>
    <x v="2"/>
  </r>
  <r>
    <d v="2023-02-15T21:00:00"/>
    <n v="27.27604010657328"/>
    <n v="58.593199836090953"/>
    <n v="211.14112751312601"/>
    <n v="1.9510665230805211"/>
    <n v="0.90236837957913074"/>
    <n v="21"/>
    <x v="0"/>
  </r>
  <r>
    <d v="2023-05-25T04:00:00"/>
    <n v="26.324741705384739"/>
    <n v="68.120779712373334"/>
    <n v="867.90504107033951"/>
    <n v="1.5997023648242099"/>
    <n v="1.6566125858320191"/>
    <n v="4"/>
    <x v="0"/>
  </r>
  <r>
    <d v="2023-12-03T07:00:00"/>
    <n v="21.416297611487039"/>
    <n v="31.732821929913811"/>
    <n v="333.79907393615201"/>
    <n v="4.28374856126241"/>
    <n v="1.4961845370328959"/>
    <n v="7"/>
    <x v="2"/>
  </r>
  <r>
    <d v="2023-12-26T11:00:00"/>
    <n v="22.872439885769261"/>
    <n v="34.123366446673622"/>
    <n v="463.60309101487832"/>
    <n v="3.0169656351062111"/>
    <n v="1.704337265683223"/>
    <n v="11"/>
    <x v="2"/>
  </r>
  <r>
    <d v="2023-09-04T17:00:00"/>
    <n v="25.338767517623669"/>
    <n v="50.623718949741388"/>
    <n v="142.68110387452271"/>
    <n v="2.7917190252250612"/>
    <n v="0.34594228694465801"/>
    <n v="17"/>
    <x v="1"/>
  </r>
  <r>
    <d v="2023-08-20T16:00:00"/>
    <n v="28.139319337481361"/>
    <n v="69.298484176447332"/>
    <n v="234.2285072260191"/>
    <n v="4.0193689500989018"/>
    <n v="0.93498741591846157"/>
    <n v="16"/>
    <x v="1"/>
  </r>
  <r>
    <d v="2023-02-22T10:00:00"/>
    <n v="24.033138168471609"/>
    <n v="46.458269232432002"/>
    <n v="101.6108112899984"/>
    <n v="2.882756842263682"/>
    <n v="1.447011113173386"/>
    <n v="10"/>
    <x v="2"/>
  </r>
  <r>
    <d v="2023-02-19T07:00:00"/>
    <n v="29.67066246437675"/>
    <n v="54.622918182170622"/>
    <n v="424.03177836120011"/>
    <n v="3.4473593994757579"/>
    <n v="1.4873063833822719"/>
    <n v="7"/>
    <x v="2"/>
  </r>
  <r>
    <d v="2023-10-23T00:00:00"/>
    <n v="26.654005697376359"/>
    <n v="60.466133212801502"/>
    <n v="829.61902622546904"/>
    <n v="2.624962368354339"/>
    <n v="0.236429343311439"/>
    <n v="0"/>
    <x v="0"/>
  </r>
  <r>
    <d v="2023-06-27T01:00:00"/>
    <n v="23.130556371046929"/>
    <n v="67.116803568657133"/>
    <n v="618.20060071231012"/>
    <n v="4.5500891006390054"/>
    <n v="1.4526866773686631"/>
    <n v="1"/>
    <x v="0"/>
  </r>
  <r>
    <d v="2023-03-08T17:00:00"/>
    <n v="25.614340801656709"/>
    <n v="37.080666043692737"/>
    <n v="855.91553088251862"/>
    <n v="3.262262556814409"/>
    <n v="1.2898340724881501"/>
    <n v="17"/>
    <x v="1"/>
  </r>
  <r>
    <d v="2023-06-26T01:00:00"/>
    <n v="23.750736814717349"/>
    <n v="66.457040612820947"/>
    <n v="257.91247066902491"/>
    <n v="4.6100442103451353"/>
    <n v="0.76293484959104474"/>
    <n v="1"/>
    <x v="0"/>
  </r>
  <r>
    <d v="2023-07-26T04:00:00"/>
    <n v="29.119811443888551"/>
    <n v="55.056969885965259"/>
    <n v="709.60739770093494"/>
    <n v="4.5953182784010966"/>
    <n v="0.67780633843004123"/>
    <n v="4"/>
    <x v="0"/>
  </r>
  <r>
    <d v="2023-07-12T11:00:00"/>
    <n v="20.483471940013679"/>
    <n v="62.224276646293248"/>
    <n v="771.27180750405046"/>
    <n v="4.0342829251640051"/>
    <n v="0.15511776442053671"/>
    <n v="11"/>
    <x v="2"/>
  </r>
  <r>
    <d v="2023-03-02T21:00:00"/>
    <n v="22.289155350281519"/>
    <n v="41.822208897444668"/>
    <n v="409.60079739151212"/>
    <n v="3.1922051514031939"/>
    <n v="0.84478064781381323"/>
    <n v="21"/>
    <x v="0"/>
  </r>
  <r>
    <d v="2023-04-11T17:00:00"/>
    <n v="20.9656653095096"/>
    <n v="50.004038385173772"/>
    <n v="202.86791301545711"/>
    <n v="3.616878379758194"/>
    <n v="0.6832907045127703"/>
    <n v="17"/>
    <x v="1"/>
  </r>
  <r>
    <d v="2023-11-13T21:00:00"/>
    <n v="28.05619691948332"/>
    <n v="38.358367605367917"/>
    <n v="767.98248096474606"/>
    <n v="1.8883394260175119"/>
    <n v="0.91985260521949108"/>
    <n v="21"/>
    <x v="0"/>
  </r>
  <r>
    <d v="2023-12-18T18:00:00"/>
    <n v="21.91079402449666"/>
    <n v="64.184165342271825"/>
    <n v="569.32347338485692"/>
    <n v="4.6765094311980633"/>
    <n v="1.4466166712409341"/>
    <n v="18"/>
    <x v="1"/>
  </r>
  <r>
    <d v="2023-06-24T20:00:00"/>
    <n v="27.428473809820801"/>
    <n v="38.183163700403298"/>
    <n v="522.75819133343498"/>
    <n v="4.4389436848135766"/>
    <n v="0.37641562511423982"/>
    <n v="20"/>
    <x v="0"/>
  </r>
  <r>
    <d v="2023-09-29T22:00:00"/>
    <n v="25.615964941163512"/>
    <n v="51.933071143093457"/>
    <n v="853.39903572894877"/>
    <n v="4.1485731481715931"/>
    <n v="1.011928620517845"/>
    <n v="22"/>
    <x v="0"/>
  </r>
  <r>
    <d v="2023-03-29T06:00:00"/>
    <n v="28.302159852368931"/>
    <n v="46.71652853489519"/>
    <n v="543.61551456728125"/>
    <n v="1.101924091679237"/>
    <n v="1.606421247738157"/>
    <n v="6"/>
    <x v="2"/>
  </r>
  <r>
    <d v="2023-12-22T22:00:00"/>
    <n v="29.949487926912141"/>
    <n v="31.983580528220859"/>
    <n v="365.47791344575228"/>
    <n v="1.778108606326009"/>
    <n v="0.57240572237842047"/>
    <n v="22"/>
    <x v="0"/>
  </r>
  <r>
    <d v="2023-05-05T21:00:00"/>
    <n v="21.542367865564021"/>
    <n v="46.485905968916299"/>
    <n v="773.588555237935"/>
    <n v="4.6667896596501857"/>
    <n v="1.7410003325089931"/>
    <n v="21"/>
    <x v="0"/>
  </r>
  <r>
    <d v="2023-07-29T00:00:00"/>
    <n v="21.504173314682891"/>
    <n v="61.375896773042392"/>
    <n v="342.86246885442341"/>
    <n v="4.2362157133277769"/>
    <n v="1.8726229815812521"/>
    <n v="0"/>
    <x v="0"/>
  </r>
  <r>
    <d v="2023-08-18T11:00:00"/>
    <n v="26.362155333877389"/>
    <n v="51.157300840097761"/>
    <n v="348.65693933658292"/>
    <n v="4.3846384896406292"/>
    <n v="0.31439525725868062"/>
    <n v="11"/>
    <x v="2"/>
  </r>
  <r>
    <d v="2023-09-05T19:00:00"/>
    <n v="20.36304373004462"/>
    <n v="42.191875626353649"/>
    <n v="287.86131051547932"/>
    <n v="2.6182780021370231"/>
    <n v="0.31983093940589169"/>
    <n v="19"/>
    <x v="0"/>
  </r>
  <r>
    <d v="2023-03-10T13:00:00"/>
    <n v="28.17417950198837"/>
    <n v="47.816532617241762"/>
    <n v="193.04859146316821"/>
    <n v="2.0254989215409309"/>
    <n v="1.3258837929291709"/>
    <n v="13"/>
    <x v="1"/>
  </r>
  <r>
    <d v="2023-04-03T11:00:00"/>
    <n v="23.766392918496241"/>
    <n v="60.970623990932538"/>
    <n v="821.41803646157234"/>
    <n v="4.5627912655025256"/>
    <n v="1.082660978471405"/>
    <n v="11"/>
    <x v="2"/>
  </r>
  <r>
    <d v="2023-07-01T22:00:00"/>
    <n v="23.989347229262201"/>
    <n v="56.726150391359333"/>
    <n v="730.6164407850406"/>
    <n v="2.4918212950141529"/>
    <n v="1.816797390657436"/>
    <n v="22"/>
    <x v="0"/>
  </r>
  <r>
    <d v="2023-03-30T22:00:00"/>
    <n v="25.72045812832468"/>
    <n v="34.43612964896645"/>
    <n v="444.89186685860471"/>
    <n v="2.1954823124356722"/>
    <n v="1.6237086199895669"/>
    <n v="22"/>
    <x v="0"/>
  </r>
  <r>
    <d v="2023-06-23T16:00:00"/>
    <n v="23.420953907670761"/>
    <n v="51.24986312777061"/>
    <n v="752.48602196021488"/>
    <n v="2.2034492526998348"/>
    <n v="1.053595867466057"/>
    <n v="16"/>
    <x v="1"/>
  </r>
  <r>
    <d v="2023-04-26T20:00:00"/>
    <n v="23.002352399179721"/>
    <n v="37.94780955970468"/>
    <n v="965.12119912335527"/>
    <n v="4.5297295539559386"/>
    <n v="0.2305119668649637"/>
    <n v="20"/>
    <x v="0"/>
  </r>
  <r>
    <d v="2023-08-02T17:00:00"/>
    <n v="22.04969218845774"/>
    <n v="69.136292364512229"/>
    <n v="519.62373552727013"/>
    <n v="1.707720214537483"/>
    <n v="0.28785390895932089"/>
    <n v="17"/>
    <x v="1"/>
  </r>
  <r>
    <d v="2023-05-01T19:00:00"/>
    <n v="27.18821470310235"/>
    <n v="59.545014920993722"/>
    <n v="539.45682088510296"/>
    <n v="4.3318293581388936"/>
    <n v="0.95213292060214294"/>
    <n v="19"/>
    <x v="0"/>
  </r>
  <r>
    <d v="2023-04-24T07:00:00"/>
    <n v="27.686125608379459"/>
    <n v="33.24003179863017"/>
    <n v="576.15467906164122"/>
    <n v="2.910270931411858"/>
    <n v="0.67868607608737286"/>
    <n v="7"/>
    <x v="2"/>
  </r>
  <r>
    <d v="2023-07-03T04:00:00"/>
    <n v="26.08102664053715"/>
    <n v="39.929170367440399"/>
    <n v="339.90416241004999"/>
    <n v="2.0445749739111738"/>
    <n v="1.891945916189447"/>
    <n v="4"/>
    <x v="0"/>
  </r>
  <r>
    <d v="2023-06-09T16:00:00"/>
    <n v="22.3603380137248"/>
    <n v="33.125027024489839"/>
    <n v="323.20365386523179"/>
    <n v="3.3369249486364332"/>
    <n v="1.365107062315958"/>
    <n v="16"/>
    <x v="1"/>
  </r>
  <r>
    <d v="2023-11-10T01:00:00"/>
    <n v="26.94758943235038"/>
    <n v="44.803854306351312"/>
    <n v="539.5462500248434"/>
    <n v="2.1159659442282082"/>
    <n v="0.61400810048837817"/>
    <n v="1"/>
    <x v="0"/>
  </r>
  <r>
    <d v="2023-06-20T20:00:00"/>
    <n v="21.57858906144606"/>
    <n v="62.90738217957572"/>
    <n v="550.65741492431789"/>
    <n v="3.05955471324426"/>
    <n v="0.77822138245512551"/>
    <n v="20"/>
    <x v="0"/>
  </r>
  <r>
    <d v="2023-04-03T16:00:00"/>
    <n v="28.782824617193899"/>
    <n v="32.67022193377683"/>
    <n v="360.35377614565192"/>
    <n v="3.4547032886746449"/>
    <n v="0.25348716783426423"/>
    <n v="16"/>
    <x v="1"/>
  </r>
  <r>
    <d v="2023-09-21T00:00:00"/>
    <n v="24.463260584432419"/>
    <n v="36.614287975568118"/>
    <n v="624.08164013584292"/>
    <n v="3.332095303062645"/>
    <n v="0.57440728454286794"/>
    <n v="0"/>
    <x v="0"/>
  </r>
  <r>
    <d v="2023-03-24T22:00:00"/>
    <n v="24.758612739283279"/>
    <n v="40.69780974729008"/>
    <n v="793.71221936784752"/>
    <n v="4.2649490765193594"/>
    <n v="0.70566566077985382"/>
    <n v="22"/>
    <x v="0"/>
  </r>
  <r>
    <d v="2023-08-08T06:00:00"/>
    <n v="22.041481904500529"/>
    <n v="54.963212065652009"/>
    <n v="720.62077255588565"/>
    <n v="3.4750672083382499"/>
    <n v="1.319701854637005"/>
    <n v="6"/>
    <x v="2"/>
  </r>
  <r>
    <d v="2023-06-22T06:00:00"/>
    <n v="26.155111211329039"/>
    <n v="68.987337914335669"/>
    <n v="232.39762431103429"/>
    <n v="1.882558010473826"/>
    <n v="0.42785209590943718"/>
    <n v="6"/>
    <x v="2"/>
  </r>
  <r>
    <d v="2023-06-22T08:00:00"/>
    <n v="29.850488848424479"/>
    <n v="62.909282626822183"/>
    <n v="678.15259295422788"/>
    <n v="2.1795725270691588"/>
    <n v="1.386649028909656"/>
    <n v="8"/>
    <x v="2"/>
  </r>
  <r>
    <d v="2023-03-11T20:00:00"/>
    <n v="25.891004850421041"/>
    <n v="38.037060676241552"/>
    <n v="103.0764605412776"/>
    <n v="2.6087109273309932"/>
    <n v="0.32353377596105748"/>
    <n v="20"/>
    <x v="0"/>
  </r>
  <r>
    <d v="2023-07-18T14:00:00"/>
    <n v="26.523451545540389"/>
    <n v="58.402512266989547"/>
    <n v="453.42709018669592"/>
    <n v="4.0779493458647389"/>
    <n v="1.7988396103211359"/>
    <n v="14"/>
    <x v="1"/>
  </r>
  <r>
    <d v="2023-11-21T03:00:00"/>
    <n v="22.884891659355461"/>
    <n v="52.25551008952182"/>
    <n v="514.92506423772647"/>
    <n v="4.6167297771602964"/>
    <n v="1.2902294592907071"/>
    <n v="3"/>
    <x v="0"/>
  </r>
  <r>
    <d v="2023-11-08T19:00:00"/>
    <n v="23.258514080423321"/>
    <n v="49.665114607893493"/>
    <n v="816.00110822978979"/>
    <n v="1.0981294219969631"/>
    <n v="1.197197978169469"/>
    <n v="19"/>
    <x v="0"/>
  </r>
  <r>
    <d v="2023-06-11T19:00:00"/>
    <n v="21.963555900705341"/>
    <n v="66.335432280173222"/>
    <n v="892.08450368375088"/>
    <n v="4.973672592447941"/>
    <n v="0.45581621056243082"/>
    <n v="19"/>
    <x v="0"/>
  </r>
  <r>
    <d v="2023-03-09T20:00:00"/>
    <n v="25.146016719675242"/>
    <n v="53.525190237967763"/>
    <n v="746.37795126520462"/>
    <n v="2.9658480962814449"/>
    <n v="1.507654236318291"/>
    <n v="20"/>
    <x v="0"/>
  </r>
  <r>
    <d v="2023-12-11T00:00:00"/>
    <n v="21.479745766615991"/>
    <n v="35.488386991718762"/>
    <n v="797.7270249365921"/>
    <n v="1.526976072228188"/>
    <n v="0.54849910757499709"/>
    <n v="0"/>
    <x v="0"/>
  </r>
  <r>
    <d v="2023-10-02T08:00:00"/>
    <n v="26.184812762273161"/>
    <n v="36.598711622259131"/>
    <n v="938.45241316567945"/>
    <n v="3.2617667554787348"/>
    <n v="1.6162821198619921"/>
    <n v="8"/>
    <x v="2"/>
  </r>
  <r>
    <d v="2023-12-15T07:00:00"/>
    <n v="24.653102242138289"/>
    <n v="66.878936555420921"/>
    <n v="536.09243315558024"/>
    <n v="2.8341333890421261"/>
    <n v="1.5800137156009491"/>
    <n v="7"/>
    <x v="2"/>
  </r>
  <r>
    <d v="2023-10-26T17:00:00"/>
    <n v="26.24311893031215"/>
    <n v="33.208207832646437"/>
    <n v="351.74819363610669"/>
    <n v="1.197286174225098"/>
    <n v="1.884851930345016"/>
    <n v="17"/>
    <x v="1"/>
  </r>
  <r>
    <d v="2023-06-04T19:00:00"/>
    <n v="20.707208496132608"/>
    <n v="35.516564416695189"/>
    <n v="433.12679697394651"/>
    <n v="3.3104971681152588"/>
    <n v="1.587117139911133"/>
    <n v="19"/>
    <x v="0"/>
  </r>
  <r>
    <d v="2023-03-18T22:00:00"/>
    <n v="28.840570721199239"/>
    <n v="56.124547352401088"/>
    <n v="485.76145788736108"/>
    <n v="4.7262846522816897"/>
    <n v="0.79339585214646824"/>
    <n v="22"/>
    <x v="0"/>
  </r>
  <r>
    <d v="2023-07-05T05:00:00"/>
    <n v="23.78581378183749"/>
    <n v="38.973496456017394"/>
    <n v="384.53792345722673"/>
    <n v="2.8905224721459639"/>
    <n v="1.0702392681203701"/>
    <n v="5"/>
    <x v="0"/>
  </r>
  <r>
    <d v="2023-12-13T23:00:00"/>
    <n v="22.069313586820002"/>
    <n v="63.04396413644583"/>
    <n v="373.34272490766119"/>
    <n v="1.9168106949485031"/>
    <n v="1.2910511782687859"/>
    <n v="23"/>
    <x v="0"/>
  </r>
  <r>
    <d v="2023-12-02T18:00:00"/>
    <n v="25.007837145061739"/>
    <n v="46.640259114854253"/>
    <n v="984.42085936524541"/>
    <n v="3.6837618800698491"/>
    <n v="0.60828432356205786"/>
    <n v="18"/>
    <x v="1"/>
  </r>
  <r>
    <d v="2023-06-10T10:00:00"/>
    <n v="29.298208966736219"/>
    <n v="49.295992511521547"/>
    <n v="993.09420196566032"/>
    <n v="2.0705019531086761"/>
    <n v="1.6200980747045779"/>
    <n v="10"/>
    <x v="2"/>
  </r>
  <r>
    <d v="2023-03-31T02:00:00"/>
    <n v="26.942861467422571"/>
    <n v="35.145526307076942"/>
    <n v="678.63528240187065"/>
    <n v="4.6607641820494816"/>
    <n v="0.72528628045395283"/>
    <n v="2"/>
    <x v="0"/>
  </r>
  <r>
    <d v="2023-11-24T07:00:00"/>
    <n v="23.40086720233699"/>
    <n v="31.126544390134139"/>
    <n v="828.81445222554419"/>
    <n v="2.9081824341101621"/>
    <n v="0.34725854840692461"/>
    <n v="7"/>
    <x v="2"/>
  </r>
  <r>
    <d v="2023-04-22T17:00:00"/>
    <n v="23.0384354735519"/>
    <n v="60.36944928966949"/>
    <n v="749.03036801252824"/>
    <n v="4.1382179521646334"/>
    <n v="0.21309071374765559"/>
    <n v="17"/>
    <x v="1"/>
  </r>
  <r>
    <d v="2023-07-19T05:00:00"/>
    <n v="26.61286557026359"/>
    <n v="32.959588150192197"/>
    <n v="713.90055403472707"/>
    <n v="1.196550219077761"/>
    <n v="1.354017823864502"/>
    <n v="5"/>
    <x v="0"/>
  </r>
  <r>
    <d v="2023-01-25T06:00:00"/>
    <n v="20.888046565068869"/>
    <n v="55.606360817353391"/>
    <n v="231.8573721715504"/>
    <n v="3.9299554421226781"/>
    <n v="0.60295160143610171"/>
    <n v="6"/>
    <x v="2"/>
  </r>
  <r>
    <d v="2023-05-09T02:00:00"/>
    <n v="23.654101824741819"/>
    <n v="51.501258053773803"/>
    <n v="223.04962652849619"/>
    <n v="1.5919044761846359"/>
    <n v="1.717993826992432"/>
    <n v="2"/>
    <x v="0"/>
  </r>
  <r>
    <d v="2023-10-15T09:00:00"/>
    <n v="24.786777836082141"/>
    <n v="50.73962185550343"/>
    <n v="897.25587638806303"/>
    <n v="1.8708714929903261"/>
    <n v="1.567620512274756"/>
    <n v="9"/>
    <x v="2"/>
  </r>
  <r>
    <d v="2023-01-19T09:00:00"/>
    <n v="27.605174772189201"/>
    <n v="41.987400886522977"/>
    <n v="112.8404145058164"/>
    <n v="4.4452335602847128"/>
    <n v="0.31889510781054742"/>
    <n v="9"/>
    <x v="2"/>
  </r>
  <r>
    <d v="2023-01-13T19:00:00"/>
    <n v="23.25517313597064"/>
    <n v="60.24114542684385"/>
    <n v="711.787491143323"/>
    <n v="1.49570057457507"/>
    <n v="1.1550343332016331"/>
    <n v="19"/>
    <x v="0"/>
  </r>
  <r>
    <d v="2023-11-30T19:00:00"/>
    <n v="27.921518285582518"/>
    <n v="46.024542055387691"/>
    <n v="824.30680469368929"/>
    <n v="2.178842885749892"/>
    <n v="1.9380104024336851"/>
    <n v="19"/>
    <x v="0"/>
  </r>
  <r>
    <d v="2023-12-01T04:00:00"/>
    <n v="27.826874906281031"/>
    <n v="36.050182872390216"/>
    <n v="746.12173438814"/>
    <n v="2.4796289334318979"/>
    <n v="1.675538757780024"/>
    <n v="4"/>
    <x v="0"/>
  </r>
  <r>
    <d v="2023-09-03T11:00:00"/>
    <n v="20.19463210418872"/>
    <n v="32.241725615106887"/>
    <n v="229.96833632693961"/>
    <n v="4.6400422721938419"/>
    <n v="1.757255172031509"/>
    <n v="11"/>
    <x v="2"/>
  </r>
  <r>
    <d v="2023-06-19T21:00:00"/>
    <n v="21.904131239302799"/>
    <n v="43.7019198314986"/>
    <n v="676.45359619893588"/>
    <n v="1.5715585543219459"/>
    <n v="0.59923772912901963"/>
    <n v="21"/>
    <x v="0"/>
  </r>
  <r>
    <d v="2023-01-14T05:00:00"/>
    <n v="26.533942786712942"/>
    <n v="54.32219917800365"/>
    <n v="211.13809491896731"/>
    <n v="3.467739881675207"/>
    <n v="1.478408977416064"/>
    <n v="5"/>
    <x v="0"/>
  </r>
  <r>
    <d v="2023-11-18T15:00:00"/>
    <n v="24.960420603042969"/>
    <n v="38.812883727661713"/>
    <n v="516.02255056184083"/>
    <n v="1.8116310553278581"/>
    <n v="0.7457751425094733"/>
    <n v="15"/>
    <x v="1"/>
  </r>
  <r>
    <d v="2023-03-04T17:00:00"/>
    <n v="20.276363215541931"/>
    <n v="59.688191734922462"/>
    <n v="689.34927079583406"/>
    <n v="2.1552357862019922"/>
    <n v="1.6733190591019409"/>
    <n v="17"/>
    <x v="1"/>
  </r>
  <r>
    <d v="2023-01-23T08:00:00"/>
    <n v="23.596488810184319"/>
    <n v="34.349032530600319"/>
    <n v="434.68304246886407"/>
    <n v="2.7802401497353029"/>
    <n v="0.29503921127550459"/>
    <n v="8"/>
    <x v="2"/>
  </r>
  <r>
    <d v="2023-01-23T01:00:00"/>
    <n v="26.25773599727361"/>
    <n v="48.878590289932433"/>
    <n v="565.52125277023833"/>
    <n v="3.1889063094756729"/>
    <n v="1.4017167867729241"/>
    <n v="1"/>
    <x v="0"/>
  </r>
  <r>
    <d v="2023-06-01T16:00:00"/>
    <n v="29.91686339760631"/>
    <n v="51.468170132983893"/>
    <n v="952.25909534646757"/>
    <n v="1.701494547304534"/>
    <n v="1.325318207272848"/>
    <n v="16"/>
    <x v="1"/>
  </r>
  <r>
    <d v="2023-10-21T01:00:00"/>
    <n v="22.068744951796731"/>
    <n v="62.840483850677607"/>
    <n v="379.35068312456741"/>
    <n v="3.3820878284234621"/>
    <n v="0.59650447267741669"/>
    <n v="1"/>
    <x v="0"/>
  </r>
  <r>
    <d v="2023-08-03T03:00:00"/>
    <n v="21.527190066500509"/>
    <n v="34.717907318312641"/>
    <n v="257.50891357133219"/>
    <n v="3.4289775409805689"/>
    <n v="1.3011068034768389"/>
    <n v="3"/>
    <x v="0"/>
  </r>
  <r>
    <d v="2023-09-21T18:00:00"/>
    <n v="23.643684619792118"/>
    <n v="30.06699976295284"/>
    <n v="916.80860423529418"/>
    <n v="2.6341411015873368"/>
    <n v="1.8306738182836051"/>
    <n v="18"/>
    <x v="1"/>
  </r>
  <r>
    <d v="2023-08-24T07:00:00"/>
    <n v="25.509126291877308"/>
    <n v="51.348388470051468"/>
    <n v="534.92833406730449"/>
    <n v="1.8028805609925309"/>
    <n v="1.268815076754003"/>
    <n v="7"/>
    <x v="2"/>
  </r>
  <r>
    <d v="2023-01-05T10:00:00"/>
    <n v="26.644993180338091"/>
    <n v="36.02900288736582"/>
    <n v="546.7209392201637"/>
    <n v="2.3357091054525192"/>
    <n v="0.44968171967088411"/>
    <n v="10"/>
    <x v="2"/>
  </r>
  <r>
    <d v="2023-04-20T10:00:00"/>
    <n v="23.608147570109949"/>
    <n v="52.867734653833473"/>
    <n v="958.20633391261288"/>
    <n v="1.392146366644698"/>
    <n v="0.68170858570123294"/>
    <n v="10"/>
    <x v="2"/>
  </r>
  <r>
    <d v="2023-11-12T23:00:00"/>
    <n v="22.284416382932271"/>
    <n v="31.316112230377211"/>
    <n v="341.02689959648899"/>
    <n v="3.9793510156143181"/>
    <n v="0.76796102424400614"/>
    <n v="23"/>
    <x v="0"/>
  </r>
  <r>
    <d v="2023-01-17T12:00:00"/>
    <n v="20.052244304080538"/>
    <n v="49.627000782441677"/>
    <n v="816.82990884326864"/>
    <n v="1.058469200023016"/>
    <n v="0.69122176203250951"/>
    <n v="12"/>
    <x v="2"/>
  </r>
  <r>
    <d v="2023-08-23T17:00:00"/>
    <n v="21.834469990438169"/>
    <n v="45.629600232864277"/>
    <n v="604.14034317229812"/>
    <n v="2.327163339159394"/>
    <n v="1.400374215171009"/>
    <n v="17"/>
    <x v="1"/>
  </r>
  <r>
    <d v="2023-01-23T15:00:00"/>
    <n v="21.00063564428832"/>
    <n v="36.249895297487093"/>
    <n v="721.01598724036342"/>
    <n v="4.6973620486446297"/>
    <n v="1.905005282705279"/>
    <n v="15"/>
    <x v="1"/>
  </r>
  <r>
    <d v="2023-10-29T13:00:00"/>
    <n v="22.421098654526372"/>
    <n v="48.713889654752862"/>
    <n v="523.57925620918377"/>
    <n v="1.750077266920077"/>
    <n v="1.057429310332201"/>
    <n v="13"/>
    <x v="1"/>
  </r>
  <r>
    <d v="2023-03-15T11:00:00"/>
    <n v="23.22574472619484"/>
    <n v="49.086776332141241"/>
    <n v="445.47295202755708"/>
    <n v="3.0940621757383711"/>
    <n v="1.6014883991230771"/>
    <n v="11"/>
    <x v="2"/>
  </r>
  <r>
    <d v="2023-06-16T18:00:00"/>
    <n v="20.787384014094659"/>
    <n v="32.715257373532218"/>
    <n v="229.65417127791051"/>
    <n v="1.596979958489442"/>
    <n v="1.8943316379466879"/>
    <n v="18"/>
    <x v="1"/>
  </r>
  <r>
    <d v="2023-02-10T11:00:00"/>
    <n v="24.058459588711141"/>
    <n v="57.076311713785529"/>
    <n v="988.7501810560068"/>
    <n v="4.7990736192784977"/>
    <n v="0.81144438952175535"/>
    <n v="11"/>
    <x v="2"/>
  </r>
  <r>
    <d v="2023-04-25T00:00:00"/>
    <n v="21.67626079743307"/>
    <n v="66.547998923604666"/>
    <n v="754.48098765153668"/>
    <n v="4.2823178891857507"/>
    <n v="0.1879295257287473"/>
    <n v="0"/>
    <x v="0"/>
  </r>
  <r>
    <d v="2023-12-03T01:00:00"/>
    <n v="25.813675516899611"/>
    <n v="54.537709340123747"/>
    <n v="509.56254297886801"/>
    <n v="2.2505018994331172"/>
    <n v="1.5312730487576629"/>
    <n v="1"/>
    <x v="0"/>
  </r>
  <r>
    <d v="2023-02-24T01:00:00"/>
    <n v="23.778774149738741"/>
    <n v="55.087651782305137"/>
    <n v="543.62596189140493"/>
    <n v="4.0077834305898499"/>
    <n v="1.4964816242676771"/>
    <n v="1"/>
    <x v="0"/>
  </r>
  <r>
    <d v="2023-06-21T06:00:00"/>
    <n v="26.396520657272589"/>
    <n v="59.936122213594963"/>
    <n v="100.2284584408214"/>
    <n v="3.269408979754481"/>
    <n v="0.67617799767127018"/>
    <n v="6"/>
    <x v="2"/>
  </r>
  <r>
    <d v="2023-12-26T21:00:00"/>
    <n v="27.761543873400971"/>
    <n v="67.442824344277696"/>
    <n v="126.64675599090501"/>
    <n v="1.8866091185371709"/>
    <n v="0.61134677927549175"/>
    <n v="21"/>
    <x v="0"/>
  </r>
  <r>
    <d v="2023-12-26T16:00:00"/>
    <n v="20.84702994819942"/>
    <n v="69.299080399502216"/>
    <n v="826.81897912616273"/>
    <n v="1.537548582321097"/>
    <n v="1.4363234987770681"/>
    <n v="16"/>
    <x v="1"/>
  </r>
  <r>
    <d v="2023-12-27T07:00:00"/>
    <n v="23.82478676672773"/>
    <n v="49.707395010197899"/>
    <n v="141.55272590720179"/>
    <n v="1.9969790038093851"/>
    <n v="0.39716975118900122"/>
    <n v="7"/>
    <x v="2"/>
  </r>
  <r>
    <d v="2023-02-17T11:00:00"/>
    <n v="29.777751801591929"/>
    <n v="67.800313361760217"/>
    <n v="794.54134888075419"/>
    <n v="3.5159623775758262"/>
    <n v="1.7025516279191979"/>
    <n v="11"/>
    <x v="2"/>
  </r>
  <r>
    <d v="2023-06-12T09:00:00"/>
    <n v="20.023095960563239"/>
    <n v="44.369705624905741"/>
    <n v="742.02765351037442"/>
    <n v="4.8190998296032497"/>
    <n v="1.7351951545209969"/>
    <n v="9"/>
    <x v="2"/>
  </r>
  <r>
    <d v="2023-09-26T18:00:00"/>
    <n v="24.589110067714721"/>
    <n v="59.105792074140389"/>
    <n v="711.39153951212427"/>
    <n v="4.1075011825674661"/>
    <n v="1.1760620148448799"/>
    <n v="18"/>
    <x v="1"/>
  </r>
  <r>
    <d v="2023-03-09T00:00:00"/>
    <n v="24.689095558536192"/>
    <n v="67.471827406572572"/>
    <n v="590.05519195799275"/>
    <n v="4.6138434820930856"/>
    <n v="0.5157294713051519"/>
    <n v="0"/>
    <x v="0"/>
  </r>
  <r>
    <d v="2023-05-24T10:00:00"/>
    <n v="28.237215576042129"/>
    <n v="30.649311095246379"/>
    <n v="412.59536931168913"/>
    <n v="1.7763138293089411"/>
    <n v="1.903105806434231"/>
    <n v="10"/>
    <x v="2"/>
  </r>
  <r>
    <d v="2023-01-07T18:00:00"/>
    <n v="22.902269068105731"/>
    <n v="66.821729688847441"/>
    <n v="975.33830757556245"/>
    <n v="4.6583575137675703"/>
    <n v="0.5470349992126351"/>
    <n v="18"/>
    <x v="1"/>
  </r>
  <r>
    <d v="2023-03-10T02:00:00"/>
    <n v="27.760306496963079"/>
    <n v="65.402004508706"/>
    <n v="919.66380490471545"/>
    <n v="1.3387279160498871"/>
    <n v="0.68710197667827067"/>
    <n v="2"/>
    <x v="0"/>
  </r>
  <r>
    <d v="2023-06-15T02:00:00"/>
    <n v="20.022002225633631"/>
    <n v="38.21943210490042"/>
    <n v="526.88343843189921"/>
    <n v="4.7767475242416193"/>
    <n v="0.93948089388270639"/>
    <n v="2"/>
    <x v="0"/>
  </r>
  <r>
    <d v="2023-06-22T00:00:00"/>
    <n v="24.907500177648"/>
    <n v="46.38854398986674"/>
    <n v="257.8779693726899"/>
    <n v="1.5648626162327279"/>
    <n v="1.089386902037043"/>
    <n v="0"/>
    <x v="0"/>
  </r>
  <r>
    <d v="2023-07-23T17:00:00"/>
    <n v="23.19320488298268"/>
    <n v="34.916785731435382"/>
    <n v="311.11983220817382"/>
    <n v="2.4461195832661722"/>
    <n v="0.96548291204730763"/>
    <n v="17"/>
    <x v="1"/>
  </r>
  <r>
    <d v="2023-07-14T20:00:00"/>
    <n v="28.081555296908778"/>
    <n v="59.887472281073791"/>
    <n v="112.61455565906"/>
    <n v="2.3822217074294421"/>
    <n v="0.10039320211592211"/>
    <n v="20"/>
    <x v="0"/>
  </r>
  <r>
    <d v="2023-07-06T02:00:00"/>
    <n v="24.029472787923378"/>
    <n v="61.096542407176663"/>
    <n v="885.04772694423491"/>
    <n v="2.3194280822450088"/>
    <n v="1.7381732734190141"/>
    <n v="2"/>
    <x v="0"/>
  </r>
  <r>
    <d v="2023-08-16T22:00:00"/>
    <n v="20.698784196123562"/>
    <n v="65.23767681724074"/>
    <n v="427.07248785873571"/>
    <n v="3.946461854545233"/>
    <n v="0.14510338067714421"/>
    <n v="22"/>
    <x v="0"/>
  </r>
  <r>
    <d v="2023-05-02T11:00:00"/>
    <n v="27.08386964964118"/>
    <n v="47.658078426867469"/>
    <n v="537.23790843987263"/>
    <n v="4.3578879366778853"/>
    <n v="1.7749461588147031"/>
    <n v="11"/>
    <x v="2"/>
  </r>
  <r>
    <d v="2023-08-18T08:00:00"/>
    <n v="20.13222987540227"/>
    <n v="55.202459606776983"/>
    <n v="573.80792966901413"/>
    <n v="3.2818935168902001"/>
    <n v="1.663353715585554"/>
    <n v="8"/>
    <x v="2"/>
  </r>
  <r>
    <d v="2023-07-18T03:00:00"/>
    <n v="23.344165395805991"/>
    <n v="63.74590081038393"/>
    <n v="813.8199608339803"/>
    <n v="3.184300194278364"/>
    <n v="1.8797283049422291"/>
    <n v="3"/>
    <x v="0"/>
  </r>
  <r>
    <d v="2023-07-30T15:00:00"/>
    <n v="24.983299977548061"/>
    <n v="33.735132689926317"/>
    <n v="653.61673888668861"/>
    <n v="2.04523178598199"/>
    <n v="0.69653055534708164"/>
    <n v="15"/>
    <x v="1"/>
  </r>
  <r>
    <d v="2023-12-14T03:00:00"/>
    <n v="27.417424111095791"/>
    <n v="34.766326703510693"/>
    <n v="162.35286826406369"/>
    <n v="4.6133003026760324"/>
    <n v="0.44144329944154942"/>
    <n v="3"/>
    <x v="0"/>
  </r>
  <r>
    <d v="2023-11-30T12:00:00"/>
    <n v="23.130639129209541"/>
    <n v="62.711386135187482"/>
    <n v="439.38637542800848"/>
    <n v="3.2591093582608419"/>
    <n v="0.20314439985765709"/>
    <n v="12"/>
    <x v="2"/>
  </r>
  <r>
    <d v="2023-07-31T15:00:00"/>
    <n v="21.04097454472193"/>
    <n v="47.678778948539438"/>
    <n v="510.64167992966389"/>
    <n v="2.6452490048635848"/>
    <n v="1.4067111241577841"/>
    <n v="15"/>
    <x v="1"/>
  </r>
  <r>
    <d v="2023-10-16T23:00:00"/>
    <n v="28.252565367774771"/>
    <n v="62.114775513089498"/>
    <n v="746.4124051577046"/>
    <n v="3.237997097066041"/>
    <n v="0.39746181791448548"/>
    <n v="23"/>
    <x v="0"/>
  </r>
  <r>
    <d v="2023-10-20T00:00:00"/>
    <n v="20.098226621593351"/>
    <n v="30.00601524323422"/>
    <n v="805.6383265030488"/>
    <n v="1.4178667897991939"/>
    <n v="0.41887982097595639"/>
    <n v="0"/>
    <x v="0"/>
  </r>
  <r>
    <d v="2023-02-09T19:00:00"/>
    <n v="28.731311324511271"/>
    <n v="34.601123184309337"/>
    <n v="104.646471436754"/>
    <n v="1.44573718175887"/>
    <n v="0.53774655148267292"/>
    <n v="19"/>
    <x v="0"/>
  </r>
  <r>
    <d v="2023-11-27T05:00:00"/>
    <n v="21.064975391480171"/>
    <n v="44.733730574712581"/>
    <n v="638.79804957837393"/>
    <n v="4.7091411664469067"/>
    <n v="0.62937621192222315"/>
    <n v="5"/>
    <x v="0"/>
  </r>
  <r>
    <d v="2023-08-04T12:00:00"/>
    <n v="21.25700954548585"/>
    <n v="45.906288023826988"/>
    <n v="126.77054560887601"/>
    <n v="1.8742229545377971"/>
    <n v="0.50583351000465204"/>
    <n v="12"/>
    <x v="2"/>
  </r>
  <r>
    <d v="2023-09-29T12:00:00"/>
    <n v="21.662288643418961"/>
    <n v="63.350315228240049"/>
    <n v="851.9096669819213"/>
    <n v="2.0811245807504881"/>
    <n v="1.254092746949045"/>
    <n v="12"/>
    <x v="2"/>
  </r>
  <r>
    <d v="2023-05-29T22:00:00"/>
    <n v="21.483430094763431"/>
    <n v="50.391299933161143"/>
    <n v="316.03542407188809"/>
    <n v="3.228968951277519"/>
    <n v="1.071120292396341"/>
    <n v="22"/>
    <x v="0"/>
  </r>
  <r>
    <d v="2023-09-30T14:00:00"/>
    <n v="27.947790517461321"/>
    <n v="66.718581362094966"/>
    <n v="399.8181025280191"/>
    <n v="2.9474478763849681"/>
    <n v="1.3363045238413209"/>
    <n v="14"/>
    <x v="1"/>
  </r>
  <r>
    <d v="2023-11-20T09:00:00"/>
    <n v="28.109813644624531"/>
    <n v="46.98790822767846"/>
    <n v="309.647275511972"/>
    <n v="3.2229313380740048"/>
    <n v="1.31989160939413"/>
    <n v="9"/>
    <x v="2"/>
  </r>
  <r>
    <d v="2023-06-11T17:00:00"/>
    <n v="21.694679865670899"/>
    <n v="32.678554104652143"/>
    <n v="880.99563414318709"/>
    <n v="2.4617165401598751"/>
    <n v="1.724795936750076"/>
    <n v="17"/>
    <x v="1"/>
  </r>
  <r>
    <d v="2023-01-01T19:00:00"/>
    <n v="21.125176206666229"/>
    <n v="48.318481788818623"/>
    <n v="370.61604633737988"/>
    <n v="2.6208610633260738"/>
    <n v="0.1697806438117983"/>
    <n v="19"/>
    <x v="0"/>
  </r>
  <r>
    <d v="2023-07-03T12:00:00"/>
    <n v="25.72480630085477"/>
    <n v="46.440351348594547"/>
    <n v="767.90918966762035"/>
    <n v="1.675195493928384"/>
    <n v="1.159652154127838"/>
    <n v="12"/>
    <x v="2"/>
  </r>
  <r>
    <d v="2023-08-30T11:00:00"/>
    <n v="26.99706957356668"/>
    <n v="51.978290076695899"/>
    <n v="651.67180814720507"/>
    <n v="2.988068472579104"/>
    <n v="0.83328902074805555"/>
    <n v="11"/>
    <x v="2"/>
  </r>
  <r>
    <d v="2023-07-07T21:00:00"/>
    <n v="25.590398575042428"/>
    <n v="55.593166158236968"/>
    <n v="876.44933583246279"/>
    <n v="2.6918244730540319"/>
    <n v="1.599602863787658"/>
    <n v="21"/>
    <x v="0"/>
  </r>
  <r>
    <d v="2023-04-01T01:00:00"/>
    <n v="20.276898664810709"/>
    <n v="32.356178817690669"/>
    <n v="277.98502666328187"/>
    <n v="4.7603349837557456"/>
    <n v="0.5342540215725079"/>
    <n v="1"/>
    <x v="0"/>
  </r>
  <r>
    <d v="2023-12-29T10:00:00"/>
    <n v="27.66088252501201"/>
    <n v="54.701177306338082"/>
    <n v="565.49942109397966"/>
    <n v="1.519148924008171"/>
    <n v="1.2570082660350961"/>
    <n v="10"/>
    <x v="2"/>
  </r>
  <r>
    <d v="2023-05-10T00:00:00"/>
    <n v="27.141902159345911"/>
    <n v="35.290946812237578"/>
    <n v="850.30318567423137"/>
    <n v="3.4629617217308519"/>
    <n v="0.61222750564364392"/>
    <n v="0"/>
    <x v="0"/>
  </r>
  <r>
    <d v="2023-12-07T23:00:00"/>
    <n v="27.1725957519992"/>
    <n v="47.2725273551398"/>
    <n v="649.53822957960369"/>
    <n v="4.86610419334691"/>
    <n v="0.54587525117791369"/>
    <n v="23"/>
    <x v="0"/>
  </r>
  <r>
    <d v="2023-01-23T17:00:00"/>
    <n v="22.072132289739059"/>
    <n v="65.693206923061382"/>
    <n v="111.0293225646793"/>
    <n v="1.3918470961010561"/>
    <n v="0.72289027162050401"/>
    <n v="17"/>
    <x v="1"/>
  </r>
  <r>
    <d v="2023-08-30T17:00:00"/>
    <n v="20.702827076886638"/>
    <n v="35.353461122819837"/>
    <n v="328.20768342730969"/>
    <n v="3.884474115680197"/>
    <n v="0.2207939091663125"/>
    <n v="17"/>
    <x v="1"/>
  </r>
  <r>
    <d v="2023-06-29T19:00:00"/>
    <n v="29.972844230304169"/>
    <n v="38.350380264357291"/>
    <n v="715.91288706755745"/>
    <n v="4.4620641430500294"/>
    <n v="1.518133832956303"/>
    <n v="19"/>
    <x v="0"/>
  </r>
  <r>
    <d v="2023-06-13T13:00:00"/>
    <n v="24.77797232585079"/>
    <n v="46.920750536731717"/>
    <n v="650.43019537218345"/>
    <n v="2.3289319263932962"/>
    <n v="1.7744891148941619"/>
    <n v="13"/>
    <x v="1"/>
  </r>
  <r>
    <d v="2023-05-27T23:00:00"/>
    <n v="27.262427424605921"/>
    <n v="32.415754849973588"/>
    <n v="906.83436269667641"/>
    <n v="3.277453711007015"/>
    <n v="0.13227170805814259"/>
    <n v="23"/>
    <x v="0"/>
  </r>
  <r>
    <d v="2023-03-17T06:00:00"/>
    <n v="20.964173784120611"/>
    <n v="41.451064556655787"/>
    <n v="932.96624967081698"/>
    <n v="1.35852053810734"/>
    <n v="1.3396405887678811"/>
    <n v="6"/>
    <x v="2"/>
  </r>
  <r>
    <d v="2023-11-18T22:00:00"/>
    <n v="25.04932263892491"/>
    <n v="33.098765113034503"/>
    <n v="820.2840105979119"/>
    <n v="2.3482265937491249"/>
    <n v="1.1695112595541099"/>
    <n v="22"/>
    <x v="0"/>
  </r>
  <r>
    <d v="2023-01-16T11:00:00"/>
    <n v="25.040966585100229"/>
    <n v="49.081744842951053"/>
    <n v="265.27509774227661"/>
    <n v="1.995325794042023"/>
    <n v="1.8202484104136001"/>
    <n v="11"/>
    <x v="2"/>
  </r>
  <r>
    <d v="2023-02-16T12:00:00"/>
    <n v="21.228580134152189"/>
    <n v="52.935148993112563"/>
    <n v="434.7964798805063"/>
    <n v="3.741472111549184"/>
    <n v="1.402184430796799"/>
    <n v="12"/>
    <x v="2"/>
  </r>
  <r>
    <d v="2023-03-09T16:00:00"/>
    <n v="23.51607644732654"/>
    <n v="59.971294220087778"/>
    <n v="968.21704963611319"/>
    <n v="1.2227511084322309"/>
    <n v="0.89531145267543844"/>
    <n v="16"/>
    <x v="1"/>
  </r>
  <r>
    <d v="2023-07-15T02:00:00"/>
    <n v="28.914633385597071"/>
    <n v="66.929575204801097"/>
    <n v="535.44331227770226"/>
    <n v="2.9329159874769499"/>
    <n v="1.198572483651948"/>
    <n v="2"/>
    <x v="0"/>
  </r>
  <r>
    <d v="2023-06-08T18:00:00"/>
    <n v="26.90214926203641"/>
    <n v="47.504835764799751"/>
    <n v="400.59885049482091"/>
    <n v="3.2153833629382409"/>
    <n v="0.34170752020778489"/>
    <n v="18"/>
    <x v="1"/>
  </r>
  <r>
    <d v="2023-01-29T01:00:00"/>
    <n v="27.316707998695559"/>
    <n v="55.112398065076121"/>
    <n v="965.79769744589987"/>
    <n v="4.7250185186464524"/>
    <n v="0.4080852284467662"/>
    <n v="1"/>
    <x v="0"/>
  </r>
  <r>
    <d v="2023-09-24T01:00:00"/>
    <n v="28.782887916325301"/>
    <n v="32.402731635665774"/>
    <n v="729.56730036592432"/>
    <n v="4.6844887595947586"/>
    <n v="0.52529019802863575"/>
    <n v="1"/>
    <x v="0"/>
  </r>
  <r>
    <d v="2023-12-26T01:00:00"/>
    <n v="23.10285598925217"/>
    <n v="49.012553132800321"/>
    <n v="726.79828011030816"/>
    <n v="1.026372269210611"/>
    <n v="1.017871178906165"/>
    <n v="1"/>
    <x v="0"/>
  </r>
  <r>
    <d v="2023-01-13T00:00:00"/>
    <n v="27.899447026679759"/>
    <n v="64.800294518387929"/>
    <n v="471.12811535833191"/>
    <n v="3.3241241398097112"/>
    <n v="0.60696581032116637"/>
    <n v="0"/>
    <x v="0"/>
  </r>
  <r>
    <d v="2023-09-12T13:00:00"/>
    <n v="20.96538722537251"/>
    <n v="53.691147483302629"/>
    <n v="184.16133739738549"/>
    <n v="2.5991528460443551"/>
    <n v="0.2910343383344407"/>
    <n v="13"/>
    <x v="1"/>
  </r>
  <r>
    <d v="2023-04-29T21:00:00"/>
    <n v="25.775487318533202"/>
    <n v="45.004056519929321"/>
    <n v="985.14596114071981"/>
    <n v="3.1450244959766058"/>
    <n v="1.0851660476301319"/>
    <n v="21"/>
    <x v="0"/>
  </r>
  <r>
    <d v="2023-11-08T19:00:00"/>
    <n v="25.34148076342656"/>
    <n v="33.569850813872883"/>
    <n v="176.32079168158111"/>
    <n v="3.598400249924838"/>
    <n v="1.4258765649512311"/>
    <n v="19"/>
    <x v="0"/>
  </r>
  <r>
    <d v="2023-03-24T03:00:00"/>
    <n v="24.31192200120395"/>
    <n v="49.94343515459785"/>
    <n v="699.37193629880312"/>
    <n v="2.097506933859961"/>
    <n v="0.28323425649487372"/>
    <n v="3"/>
    <x v="0"/>
  </r>
  <r>
    <d v="2023-02-02T08:00:00"/>
    <n v="22.091691554235581"/>
    <n v="66.748132693493844"/>
    <n v="145.99835104214571"/>
    <n v="4.044602998553759"/>
    <n v="1.485010356984132"/>
    <n v="8"/>
    <x v="2"/>
  </r>
  <r>
    <d v="2023-03-07T19:00:00"/>
    <n v="24.275265143497439"/>
    <n v="32.955769126637207"/>
    <n v="112.8906526734864"/>
    <n v="4.6820780346081214"/>
    <n v="0.1449695186525721"/>
    <n v="19"/>
    <x v="0"/>
  </r>
  <r>
    <d v="2023-01-25T00:00:00"/>
    <n v="28.44283139445638"/>
    <n v="51.234856760987348"/>
    <n v="108.9445467071792"/>
    <n v="4.5551443062504342"/>
    <n v="1.427987184496329"/>
    <n v="0"/>
    <x v="0"/>
  </r>
  <r>
    <d v="2023-09-23T14:00:00"/>
    <n v="27.30703374088618"/>
    <n v="47.052931418951808"/>
    <n v="948.19104529041499"/>
    <n v="4.0213713605269756"/>
    <n v="1.9108619842842041"/>
    <n v="14"/>
    <x v="1"/>
  </r>
  <r>
    <d v="2023-11-14T20:00:00"/>
    <n v="24.406032328429148"/>
    <n v="60.378554376172737"/>
    <n v="515.9458108604847"/>
    <n v="3.0978263365507752"/>
    <n v="0.96785703521407118"/>
    <n v="20"/>
    <x v="0"/>
  </r>
  <r>
    <d v="2023-09-14T23:00:00"/>
    <n v="29.67588680957023"/>
    <n v="36.046019057813211"/>
    <n v="641.8267502693385"/>
    <n v="2.9407701206160062"/>
    <n v="0.22519243899558419"/>
    <n v="23"/>
    <x v="0"/>
  </r>
  <r>
    <d v="2023-07-18T12:00:00"/>
    <n v="27.852919157053378"/>
    <n v="36.847811094463268"/>
    <n v="227.1886634884801"/>
    <n v="3.9799945474327321"/>
    <n v="0.63709591148530165"/>
    <n v="12"/>
    <x v="2"/>
  </r>
  <r>
    <d v="2023-05-04T04:00:00"/>
    <n v="20.44260617815986"/>
    <n v="58.640174051851503"/>
    <n v="538.95958272480254"/>
    <n v="4.0909204639806447"/>
    <n v="0.38027624526723652"/>
    <n v="4"/>
    <x v="0"/>
  </r>
  <r>
    <d v="2023-05-16T16:00:00"/>
    <n v="27.507365235749791"/>
    <n v="57.198300538897882"/>
    <n v="566.92304548009395"/>
    <n v="1.0484775959533861"/>
    <n v="1.0517794896934689"/>
    <n v="16"/>
    <x v="1"/>
  </r>
  <r>
    <d v="2023-08-19T05:00:00"/>
    <n v="27.185377796671681"/>
    <n v="50.707311740650731"/>
    <n v="237.3790986714672"/>
    <n v="1.151311380898087"/>
    <n v="0.44352654980786882"/>
    <n v="5"/>
    <x v="0"/>
  </r>
  <r>
    <d v="2023-09-03T15:00:00"/>
    <n v="20.492206551768831"/>
    <n v="30.182322836511091"/>
    <n v="512.22402264928951"/>
    <n v="2.9102403872874878"/>
    <n v="1.993125226559711"/>
    <n v="15"/>
    <x v="1"/>
  </r>
  <r>
    <d v="2023-10-01T14:00:00"/>
    <n v="29.265572656292239"/>
    <n v="64.226591040609975"/>
    <n v="897.86628756771779"/>
    <n v="4.4654255978985367"/>
    <n v="0.89717502771941837"/>
    <n v="14"/>
    <x v="1"/>
  </r>
  <r>
    <d v="2023-07-27T06:00:00"/>
    <n v="24.670388632674179"/>
    <n v="69.49590691709578"/>
    <n v="617.67809742206839"/>
    <n v="1.8600254195894199"/>
    <n v="0.83594825512161186"/>
    <n v="6"/>
    <x v="2"/>
  </r>
  <r>
    <d v="2023-08-07T17:00:00"/>
    <n v="22.39127497952569"/>
    <n v="56.697768296566061"/>
    <n v="267.35801279846669"/>
    <n v="1.574307056970818"/>
    <n v="0.2219117645736817"/>
    <n v="17"/>
    <x v="1"/>
  </r>
  <r>
    <d v="2023-03-03T09:00:00"/>
    <n v="24.482257909973011"/>
    <n v="67.329117824582653"/>
    <n v="959.78925608774193"/>
    <n v="4.7326490061206723"/>
    <n v="1.2373214145356199"/>
    <n v="9"/>
    <x v="2"/>
  </r>
  <r>
    <d v="2023-03-27T20:00:00"/>
    <n v="28.337804667900109"/>
    <n v="60.312584118948678"/>
    <n v="903.56260937328182"/>
    <n v="4.5644493619379807"/>
    <n v="0.33617631302586642"/>
    <n v="20"/>
    <x v="0"/>
  </r>
  <r>
    <d v="2023-10-14T14:00:00"/>
    <n v="22.505058195726409"/>
    <n v="57.366476928163678"/>
    <n v="934.30610627408237"/>
    <n v="2.0746971017818612"/>
    <n v="0.59730878399407605"/>
    <n v="14"/>
    <x v="1"/>
  </r>
  <r>
    <d v="2023-07-11T13:00:00"/>
    <n v="29.14092793157263"/>
    <n v="44.050539837428119"/>
    <n v="802.82542565872643"/>
    <n v="4.361139961428842"/>
    <n v="0.66836457212934819"/>
    <n v="13"/>
    <x v="1"/>
  </r>
  <r>
    <d v="2023-04-01T10:00:00"/>
    <n v="20.647398087478361"/>
    <n v="33.186386603995018"/>
    <n v="605.22369523974976"/>
    <n v="4.0280405428160169"/>
    <n v="0.2864203844352905"/>
    <n v="10"/>
    <x v="2"/>
  </r>
  <r>
    <d v="2023-09-15T10:00:00"/>
    <n v="20.893570841799729"/>
    <n v="31.286835635433871"/>
    <n v="798.19110635437187"/>
    <n v="4.9815641679665967"/>
    <n v="1.6770262935822611"/>
    <n v="10"/>
    <x v="2"/>
  </r>
  <r>
    <d v="2023-02-12T23:00:00"/>
    <n v="25.993240584447509"/>
    <n v="48.02246134249873"/>
    <n v="657.47226925797702"/>
    <n v="1.6534974814148891"/>
    <n v="0.31000512004411362"/>
    <n v="23"/>
    <x v="0"/>
  </r>
  <r>
    <d v="2023-04-08T04:00:00"/>
    <n v="25.09796955041023"/>
    <n v="48.381429664425511"/>
    <n v="105.1250099912122"/>
    <n v="4.5895744903990643"/>
    <n v="1.017709559258422"/>
    <n v="4"/>
    <x v="0"/>
  </r>
  <r>
    <d v="2023-12-09T16:00:00"/>
    <n v="26.715050795524562"/>
    <n v="45.447409729665793"/>
    <n v="204.6539129185785"/>
    <n v="1.2279214155797189"/>
    <n v="0.64921890138072347"/>
    <n v="16"/>
    <x v="1"/>
  </r>
  <r>
    <d v="2023-08-10T07:00:00"/>
    <n v="20.434459283535979"/>
    <n v="31.196920575573191"/>
    <n v="198.59108083808269"/>
    <n v="3.6922585859290011"/>
    <n v="0.54943467494560494"/>
    <n v="7"/>
    <x v="2"/>
  </r>
  <r>
    <d v="2023-03-13T04:00:00"/>
    <n v="22.602423689064249"/>
    <n v="37.973809475278159"/>
    <n v="598.47686331920181"/>
    <n v="3.6766312195571431"/>
    <n v="0.52426212052202115"/>
    <n v="4"/>
    <x v="0"/>
  </r>
  <r>
    <d v="2023-12-24T05:00:00"/>
    <n v="27.031446813789689"/>
    <n v="35.460579988364337"/>
    <n v="726.16152535628851"/>
    <n v="4.6627757977550379"/>
    <n v="1.3727423143550641"/>
    <n v="5"/>
    <x v="0"/>
  </r>
  <r>
    <d v="2023-06-26T14:00:00"/>
    <n v="23.44401568325932"/>
    <n v="30.50954406398338"/>
    <n v="945.41729754346841"/>
    <n v="1.9115020954679871"/>
    <n v="1.608215259587894"/>
    <n v="14"/>
    <x v="1"/>
  </r>
  <r>
    <d v="2023-02-25T17:00:00"/>
    <n v="23.046546730181511"/>
    <n v="54.765342564929199"/>
    <n v="911.10486149666633"/>
    <n v="1.6865296188574741"/>
    <n v="0.87693538086091249"/>
    <n v="17"/>
    <x v="1"/>
  </r>
  <r>
    <d v="2023-10-28T17:00:00"/>
    <n v="28.197769629082462"/>
    <n v="33.957838585925643"/>
    <n v="638.05098580551567"/>
    <n v="3.0540455933997368"/>
    <n v="0.70520377642567533"/>
    <n v="17"/>
    <x v="1"/>
  </r>
  <r>
    <d v="2023-07-13T10:00:00"/>
    <n v="27.960630618396909"/>
    <n v="35.935581420678353"/>
    <n v="614.09224302572375"/>
    <n v="4.8102869683367988"/>
    <n v="1.4889676614392411"/>
    <n v="10"/>
    <x v="2"/>
  </r>
  <r>
    <d v="2023-09-13T10:00:00"/>
    <n v="27.449909385957721"/>
    <n v="33.964526517146062"/>
    <n v="161.48321876035109"/>
    <n v="2.1154640779558891"/>
    <n v="0.61141203943826117"/>
    <n v="10"/>
    <x v="2"/>
  </r>
  <r>
    <d v="2023-02-05T16:00:00"/>
    <n v="26.27625416007492"/>
    <n v="60.586616368204773"/>
    <n v="794.09040326452111"/>
    <n v="4.1866598187251194"/>
    <n v="1.7538754039884801"/>
    <n v="16"/>
    <x v="1"/>
  </r>
  <r>
    <d v="2023-04-27T17:00:00"/>
    <n v="29.544051438839151"/>
    <n v="65.335136139328426"/>
    <n v="339.36309023252619"/>
    <n v="2.2797686097021801"/>
    <n v="0.65836731840016949"/>
    <n v="17"/>
    <x v="1"/>
  </r>
  <r>
    <d v="2023-04-03T08:00:00"/>
    <n v="20.2105699578931"/>
    <n v="34.751761191254971"/>
    <n v="926.1247226378249"/>
    <n v="2.0204873256353029"/>
    <n v="0.19737987071841381"/>
    <n v="8"/>
    <x v="2"/>
  </r>
  <r>
    <d v="2023-11-15T22:00:00"/>
    <n v="21.526430996134451"/>
    <n v="54.626597335685503"/>
    <n v="299.08500691025438"/>
    <n v="3.7364228271698638"/>
    <n v="0.99365098910412353"/>
    <n v="22"/>
    <x v="0"/>
  </r>
  <r>
    <d v="2023-07-02T00:00:00"/>
    <n v="24.598882785460589"/>
    <n v="54.787545783520201"/>
    <n v="726.6901677912216"/>
    <n v="4.085623976337744"/>
    <n v="0.66982017877078093"/>
    <n v="0"/>
    <x v="0"/>
  </r>
  <r>
    <d v="2023-03-14T01:00:00"/>
    <n v="22.806898434562932"/>
    <n v="41.253059623367783"/>
    <n v="201.06418259500731"/>
    <n v="1.0522534159875701"/>
    <n v="0.98531214916648091"/>
    <n v="1"/>
    <x v="0"/>
  </r>
  <r>
    <d v="2023-07-15T06:00:00"/>
    <n v="22.933593434137631"/>
    <n v="53.540529001252047"/>
    <n v="544.49421914164168"/>
    <n v="3.3344034314055579"/>
    <n v="0.65485025021522725"/>
    <n v="6"/>
    <x v="2"/>
  </r>
  <r>
    <d v="2023-11-26T06:00:00"/>
    <n v="29.802962659686759"/>
    <n v="47.331269968479042"/>
    <n v="234.08280709097539"/>
    <n v="3.123612879348582"/>
    <n v="1.9753277958476569"/>
    <n v="6"/>
    <x v="2"/>
  </r>
  <r>
    <d v="2023-11-14T00:00:00"/>
    <n v="20.44220484826041"/>
    <n v="34.305809974519413"/>
    <n v="858.41688750165201"/>
    <n v="2.556029196332585"/>
    <n v="1.951618518303903"/>
    <n v="0"/>
    <x v="0"/>
  </r>
  <r>
    <d v="2023-07-18T00:00:00"/>
    <n v="20.25897872539354"/>
    <n v="68.329882650638126"/>
    <n v="652.60639279369934"/>
    <n v="4.1412709206849367"/>
    <n v="1.273316890756472"/>
    <n v="0"/>
    <x v="0"/>
  </r>
  <r>
    <d v="2023-02-01T02:00:00"/>
    <n v="29.35144855439238"/>
    <n v="57.14541770136632"/>
    <n v="979.51630141012936"/>
    <n v="2.42368291736766"/>
    <n v="1.8224642228310399"/>
    <n v="2"/>
    <x v="0"/>
  </r>
  <r>
    <d v="2023-01-25T18:00:00"/>
    <n v="21.60090040990082"/>
    <n v="68.158380407179749"/>
    <n v="226.92207481036769"/>
    <n v="3.1761123756693821"/>
    <n v="0.69457833514185807"/>
    <n v="18"/>
    <x v="1"/>
  </r>
  <r>
    <d v="2023-01-07T12:00:00"/>
    <n v="20.42977282297856"/>
    <n v="36.040932295709489"/>
    <n v="870.49099068107535"/>
    <n v="2.7114328987998091"/>
    <n v="1.5969964971742729"/>
    <n v="12"/>
    <x v="2"/>
  </r>
  <r>
    <d v="2023-12-12T23:00:00"/>
    <n v="24.585452791351091"/>
    <n v="61.766147130889621"/>
    <n v="760.87913476123845"/>
    <n v="2.792206799972444"/>
    <n v="1.5535998102592341"/>
    <n v="23"/>
    <x v="0"/>
  </r>
  <r>
    <d v="2023-12-27T06:00:00"/>
    <n v="28.818905703558261"/>
    <n v="46.825032712945678"/>
    <n v="448.49156865799853"/>
    <n v="2.9424702076286779"/>
    <n v="0.77509757588437422"/>
    <n v="6"/>
    <x v="2"/>
  </r>
  <r>
    <d v="2023-09-30T03:00:00"/>
    <n v="23.060647374697538"/>
    <n v="67.18744587466125"/>
    <n v="116.11199637408789"/>
    <n v="1.6247241692691989"/>
    <n v="1.4707962878757139"/>
    <n v="3"/>
    <x v="0"/>
  </r>
  <r>
    <d v="2023-10-05T02:00:00"/>
    <n v="29.322514505097129"/>
    <n v="57.479638282183103"/>
    <n v="762.37162387959006"/>
    <n v="4.213835537083737"/>
    <n v="0.2778731116773997"/>
    <n v="2"/>
    <x v="0"/>
  </r>
  <r>
    <d v="2023-08-28T18:00:00"/>
    <n v="28.65276153255822"/>
    <n v="35.88661772013424"/>
    <n v="188.33314077047569"/>
    <n v="2.162369614377873"/>
    <n v="0.54190425361377126"/>
    <n v="18"/>
    <x v="1"/>
  </r>
  <r>
    <d v="2023-04-09T06:00:00"/>
    <n v="22.804178828106409"/>
    <n v="31.298983117347639"/>
    <n v="828.04903655609269"/>
    <n v="3.0651831964960379"/>
    <n v="0.49881334949659939"/>
    <n v="6"/>
    <x v="2"/>
  </r>
  <r>
    <d v="2023-11-13T02:00:00"/>
    <n v="24.354391922905648"/>
    <n v="35.02488967035513"/>
    <n v="818.64463049472909"/>
    <n v="2.0922731179956999"/>
    <n v="1.288965542210468"/>
    <n v="2"/>
    <x v="0"/>
  </r>
  <r>
    <d v="2023-07-31T07:00:00"/>
    <n v="29.237380669378201"/>
    <n v="58.507591086464743"/>
    <n v="294.15448317937319"/>
    <n v="4.4371334044385868"/>
    <n v="0.48334812818153899"/>
    <n v="7"/>
    <x v="2"/>
  </r>
  <r>
    <d v="2023-01-30T23:00:00"/>
    <n v="21.23286778945667"/>
    <n v="30.421672563521259"/>
    <n v="969.31777620697005"/>
    <n v="4.3267481283435076"/>
    <n v="0.63875868028026228"/>
    <n v="23"/>
    <x v="0"/>
  </r>
  <r>
    <d v="2023-01-27T21:00:00"/>
    <n v="20.61893336490219"/>
    <n v="49.130580008002198"/>
    <n v="813.61172696229801"/>
    <n v="4.8024791488531893"/>
    <n v="0.6174828416602034"/>
    <n v="21"/>
    <x v="0"/>
  </r>
  <r>
    <d v="2023-06-01T00:00:00"/>
    <n v="21.887196015523251"/>
    <n v="52.122132935069338"/>
    <n v="644.13097097558921"/>
    <n v="2.4570564569654691"/>
    <n v="1.892364031073491"/>
    <n v="0"/>
    <x v="0"/>
  </r>
  <r>
    <d v="2023-10-28T12:00:00"/>
    <n v="22.25621273353493"/>
    <n v="62.490703278597287"/>
    <n v="761.45620562273984"/>
    <n v="4.5478145514303403"/>
    <n v="1.901199494404505"/>
    <n v="12"/>
    <x v="2"/>
  </r>
  <r>
    <d v="2023-11-13T04:00:00"/>
    <n v="21.793890130379729"/>
    <n v="47.863794010421998"/>
    <n v="521.48235211134079"/>
    <n v="4.4354297887832344"/>
    <n v="1.6801285322675661"/>
    <n v="4"/>
    <x v="0"/>
  </r>
  <r>
    <d v="2023-04-15T14:00:00"/>
    <n v="20.31712066999194"/>
    <n v="30.21946781060382"/>
    <n v="183.56233159678251"/>
    <n v="3.2952172336671421"/>
    <n v="0.95789172811678081"/>
    <n v="14"/>
    <x v="1"/>
  </r>
  <r>
    <d v="2023-05-11T20:00:00"/>
    <n v="27.176589265840828"/>
    <n v="38.75128718460715"/>
    <n v="673.23722846027317"/>
    <n v="1.59029778284523"/>
    <n v="1.0311253378565359"/>
    <n v="20"/>
    <x v="0"/>
  </r>
  <r>
    <d v="2023-01-22T18:00:00"/>
    <n v="21.61951946271628"/>
    <n v="31.902171729264651"/>
    <n v="474.60567833844408"/>
    <n v="3.8165941504674081"/>
    <n v="0.81169686240056615"/>
    <n v="18"/>
    <x v="1"/>
  </r>
  <r>
    <d v="2023-08-23T10:00:00"/>
    <n v="24.553889594119379"/>
    <n v="69.238096196853775"/>
    <n v="980.97211526123658"/>
    <n v="4.7791514361325333"/>
    <n v="0.97557612105859459"/>
    <n v="10"/>
    <x v="2"/>
  </r>
  <r>
    <d v="2023-05-10T00:00:00"/>
    <n v="21.203883583693731"/>
    <n v="55.53689339268972"/>
    <n v="157.01052261604269"/>
    <n v="4.2772203406784559"/>
    <n v="0.36885731386333648"/>
    <n v="0"/>
    <x v="0"/>
  </r>
  <r>
    <d v="2023-01-05T11:00:00"/>
    <n v="23.65518110877181"/>
    <n v="30.076801108104341"/>
    <n v="244.46078145794721"/>
    <n v="1.306124242517531"/>
    <n v="0.61487047885227597"/>
    <n v="11"/>
    <x v="2"/>
  </r>
  <r>
    <d v="2023-04-13T18:00:00"/>
    <n v="23.974676252154641"/>
    <n v="31.541167780052671"/>
    <n v="910.31472390914826"/>
    <n v="1.0900938647366469"/>
    <n v="0.45169248212022989"/>
    <n v="18"/>
    <x v="1"/>
  </r>
  <r>
    <d v="2023-01-16T23:00:00"/>
    <n v="29.129859757817432"/>
    <n v="39.020881323547549"/>
    <n v="538.29331172905063"/>
    <n v="2.8425436514174449"/>
    <n v="1.773721695242469"/>
    <n v="23"/>
    <x v="0"/>
  </r>
  <r>
    <d v="2023-12-30T02:00:00"/>
    <n v="27.053167555469791"/>
    <n v="61.154220860040972"/>
    <n v="273.82190582486783"/>
    <n v="4.6520349055734478"/>
    <n v="1.410949011721947"/>
    <n v="2"/>
    <x v="0"/>
  </r>
  <r>
    <d v="2023-11-06T21:00:00"/>
    <n v="29.061421735797129"/>
    <n v="45.960767418384407"/>
    <n v="381.40017779329889"/>
    <n v="3.8894511776473002"/>
    <n v="0.35333603992452239"/>
    <n v="21"/>
    <x v="0"/>
  </r>
  <r>
    <d v="2023-09-15T08:00:00"/>
    <n v="24.890963315370001"/>
    <n v="50.214500423358878"/>
    <n v="168.66995168846049"/>
    <n v="4.9975423324227179"/>
    <n v="0.91777807590853433"/>
    <n v="8"/>
    <x v="2"/>
  </r>
  <r>
    <d v="2023-03-24T04:00:00"/>
    <n v="21.693416493944"/>
    <n v="64.900351019009818"/>
    <n v="670.5200087305459"/>
    <n v="3.5091944010746028"/>
    <n v="0.71872097398941792"/>
    <n v="4"/>
    <x v="0"/>
  </r>
  <r>
    <d v="2023-10-27T23:00:00"/>
    <n v="24.096332437330329"/>
    <n v="65.649717078321089"/>
    <n v="928.07249044901926"/>
    <n v="4.5289199285136448"/>
    <n v="0.12839149836532501"/>
    <n v="23"/>
    <x v="0"/>
  </r>
  <r>
    <d v="2023-09-22T23:00:00"/>
    <n v="25.936784880031219"/>
    <n v="47.113528534588852"/>
    <n v="613.17822222157065"/>
    <n v="4.2481001562025522"/>
    <n v="1.5049122759704321"/>
    <n v="23"/>
    <x v="0"/>
  </r>
  <r>
    <d v="2023-08-16T14:00:00"/>
    <n v="25.412451647452091"/>
    <n v="60.406379105582147"/>
    <n v="677.7836740367477"/>
    <n v="3.1544356416328831"/>
    <n v="0.93639865067685146"/>
    <n v="14"/>
    <x v="1"/>
  </r>
  <r>
    <d v="2023-01-28T22:00:00"/>
    <n v="28.96305492005823"/>
    <n v="39.367032370508348"/>
    <n v="363.52393185403582"/>
    <n v="1.3618021811031611"/>
    <n v="0.78715349479786334"/>
    <n v="22"/>
    <x v="0"/>
  </r>
  <r>
    <d v="2023-05-05T01:00:00"/>
    <n v="25.923777962295912"/>
    <n v="37.007455982124348"/>
    <n v="737.577099542518"/>
    <n v="1.523332166404521"/>
    <n v="0.44608709318583017"/>
    <n v="1"/>
    <x v="0"/>
  </r>
  <r>
    <d v="2023-12-25T12:00:00"/>
    <n v="22.566308212925399"/>
    <n v="69.051771463233734"/>
    <n v="923.6525709070454"/>
    <n v="4.2619276537859472"/>
    <n v="1.0277496066897309"/>
    <n v="12"/>
    <x v="2"/>
  </r>
  <r>
    <d v="2023-10-07T08:00:00"/>
    <n v="29.525863295023289"/>
    <n v="55.528040424774851"/>
    <n v="141.73470518164939"/>
    <n v="2.4774955618360361"/>
    <n v="0.61611412679907285"/>
    <n v="8"/>
    <x v="2"/>
  </r>
  <r>
    <d v="2023-10-04T21:00:00"/>
    <n v="21.739261682460992"/>
    <n v="56.291498507688097"/>
    <n v="295.55275588190011"/>
    <n v="3.410563869195169"/>
    <n v="1.064775055092561"/>
    <n v="21"/>
    <x v="0"/>
  </r>
  <r>
    <d v="2023-06-05T04:00:00"/>
    <n v="24.76438264567912"/>
    <n v="65.113515234343851"/>
    <n v="942.96598729263565"/>
    <n v="2.166846510259262"/>
    <n v="0.57574736481445399"/>
    <n v="4"/>
    <x v="0"/>
  </r>
  <r>
    <d v="2023-11-24T18:00:00"/>
    <n v="28.876505123498671"/>
    <n v="31.081376079634591"/>
    <n v="824.47587460323541"/>
    <n v="4.566116938951656"/>
    <n v="0.65602600257264032"/>
    <n v="18"/>
    <x v="1"/>
  </r>
  <r>
    <d v="2023-10-30T03:00:00"/>
    <n v="27.099218407468289"/>
    <n v="41.435535514723313"/>
    <n v="163.23152422549279"/>
    <n v="4.6639854815966952"/>
    <n v="0.90780977307649968"/>
    <n v="3"/>
    <x v="0"/>
  </r>
  <r>
    <d v="2023-05-07T00:00:00"/>
    <n v="25.353824272656841"/>
    <n v="58.766800666071447"/>
    <n v="309.6388290334047"/>
    <n v="4.8228213627067857"/>
    <n v="1.2607317766644299"/>
    <n v="0"/>
    <x v="0"/>
  </r>
  <r>
    <d v="2023-03-08T19:00:00"/>
    <n v="26.878280530757699"/>
    <n v="48.184927625146337"/>
    <n v="428.67457820848551"/>
    <n v="4.7145470199385056"/>
    <n v="1.700869551876562"/>
    <n v="19"/>
    <x v="0"/>
  </r>
  <r>
    <d v="2023-12-16T00:00:00"/>
    <n v="24.377934996908522"/>
    <n v="67.714758382140488"/>
    <n v="387.36174791324402"/>
    <n v="3.256068096599825"/>
    <n v="0.62944382448011182"/>
    <n v="0"/>
    <x v="0"/>
  </r>
  <r>
    <d v="2023-07-11T11:00:00"/>
    <n v="23.968058823780559"/>
    <n v="48.022979856762177"/>
    <n v="146.1410370000936"/>
    <n v="3.4075195925556359"/>
    <n v="0.72201107692845345"/>
    <n v="11"/>
    <x v="2"/>
  </r>
  <r>
    <d v="2023-01-29T17:00:00"/>
    <n v="26.278380403773831"/>
    <n v="35.081288721697177"/>
    <n v="253.64498312008371"/>
    <n v="4.848990769830051"/>
    <n v="1.3248823475537721"/>
    <n v="17"/>
    <x v="1"/>
  </r>
  <r>
    <d v="2023-01-03T05:00:00"/>
    <n v="27.3700823208797"/>
    <n v="66.292010646072498"/>
    <n v="354.13291033245889"/>
    <n v="2.490538362044834"/>
    <n v="1.9902061956599859"/>
    <n v="5"/>
    <x v="0"/>
  </r>
  <r>
    <d v="2023-10-06T07:00:00"/>
    <n v="29.374602254239239"/>
    <n v="30.204670902498471"/>
    <n v="237.82028359689119"/>
    <n v="3.5233479346649692"/>
    <n v="0.53845543448716149"/>
    <n v="7"/>
    <x v="2"/>
  </r>
  <r>
    <d v="2023-12-22T18:00:00"/>
    <n v="28.365455473234771"/>
    <n v="60.350539788116542"/>
    <n v="844.7065321894745"/>
    <n v="2.758873128117568"/>
    <n v="0.51946980740783244"/>
    <n v="18"/>
    <x v="1"/>
  </r>
  <r>
    <d v="2023-06-02T11:00:00"/>
    <n v="29.606925063563288"/>
    <n v="30.333506328785191"/>
    <n v="568.37118796170478"/>
    <n v="2.3788870756466078"/>
    <n v="1.658580299154562"/>
    <n v="11"/>
    <x v="2"/>
  </r>
  <r>
    <d v="2023-08-16T16:00:00"/>
    <n v="21.158861233648501"/>
    <n v="48.528601861798137"/>
    <n v="299.30259052804848"/>
    <n v="4.7177690394611407"/>
    <n v="1.616332273016496"/>
    <n v="16"/>
    <x v="1"/>
  </r>
  <r>
    <d v="2023-07-19T14:00:00"/>
    <n v="29.89473465847038"/>
    <n v="38.221867997569177"/>
    <n v="862.95223975931071"/>
    <n v="3.2785766636014571"/>
    <n v="0.72512244022041505"/>
    <n v="14"/>
    <x v="1"/>
  </r>
  <r>
    <d v="2023-04-16T01:00:00"/>
    <n v="22.003017866701761"/>
    <n v="68.066514150539888"/>
    <n v="784.59999439482215"/>
    <n v="2.8604244515991648"/>
    <n v="0.12802513508724861"/>
    <n v="1"/>
    <x v="0"/>
  </r>
  <r>
    <d v="2023-04-06T20:00:00"/>
    <n v="20.80903923162046"/>
    <n v="45.869619840405818"/>
    <n v="447.64963229621708"/>
    <n v="1.216515388407009"/>
    <n v="0.91608429152964199"/>
    <n v="20"/>
    <x v="0"/>
  </r>
  <r>
    <d v="2023-10-04T11:00:00"/>
    <n v="26.568105028490141"/>
    <n v="31.238112965966572"/>
    <n v="857.08828386907317"/>
    <n v="1.621954929495395"/>
    <n v="1.1326189498603489"/>
    <n v="11"/>
    <x v="2"/>
  </r>
  <r>
    <d v="2023-08-11T20:00:00"/>
    <n v="26.734872878209011"/>
    <n v="61.071774934502599"/>
    <n v="673.70371452605457"/>
    <n v="3.1629738270561041"/>
    <n v="1.5442934182526189"/>
    <n v="20"/>
    <x v="0"/>
  </r>
  <r>
    <d v="2023-09-27T22:00:00"/>
    <n v="29.738222583623031"/>
    <n v="42.66335794749105"/>
    <n v="661.1134764667155"/>
    <n v="4.978473282461966"/>
    <n v="1.3557994089035119"/>
    <n v="22"/>
    <x v="0"/>
  </r>
  <r>
    <d v="2023-01-03T13:00:00"/>
    <n v="27.710236857723949"/>
    <n v="55.578333603679248"/>
    <n v="193.5263129688002"/>
    <n v="2.8377458350186568"/>
    <n v="1.3770403559979789"/>
    <n v="13"/>
    <x v="1"/>
  </r>
  <r>
    <d v="2023-11-08T02:00:00"/>
    <n v="23.926583313259311"/>
    <n v="46.20912210041913"/>
    <n v="467.38429345415409"/>
    <n v="3.5007664123395319"/>
    <n v="1.626423197126772"/>
    <n v="2"/>
    <x v="0"/>
  </r>
  <r>
    <d v="2023-08-15T14:00:00"/>
    <n v="26.001054133557751"/>
    <n v="47.540563668036739"/>
    <n v="164.27293269794851"/>
    <n v="4.4067697152099736"/>
    <n v="1.5722565745192161"/>
    <n v="14"/>
    <x v="1"/>
  </r>
  <r>
    <d v="2023-01-25T11:00:00"/>
    <n v="26.094543472509429"/>
    <n v="40.551857706888022"/>
    <n v="460.82145907763089"/>
    <n v="4.6735884270634562"/>
    <n v="0.99918243828795106"/>
    <n v="11"/>
    <x v="2"/>
  </r>
  <r>
    <d v="2023-09-18T23:00:00"/>
    <n v="27.6541873543413"/>
    <n v="61.53330433696275"/>
    <n v="153.50321880078141"/>
    <n v="2.4645202870808971"/>
    <n v="0.29914389601661001"/>
    <n v="23"/>
    <x v="0"/>
  </r>
  <r>
    <d v="2023-04-02T11:00:00"/>
    <n v="25.81098037709366"/>
    <n v="48.548819605512733"/>
    <n v="273.58920656068199"/>
    <n v="1.6543751563079621"/>
    <n v="1.6472375840513009"/>
    <n v="11"/>
    <x v="2"/>
  </r>
  <r>
    <d v="2023-10-16T15:00:00"/>
    <n v="23.864406798249892"/>
    <n v="31.584699855119489"/>
    <n v="510.74291126171801"/>
    <n v="4.8852119070621427"/>
    <n v="1.243370600060034"/>
    <n v="15"/>
    <x v="1"/>
  </r>
  <r>
    <d v="2023-12-26T10:00:00"/>
    <n v="26.814581014047238"/>
    <n v="67.790686783129019"/>
    <n v="656.27390659989078"/>
    <n v="3.1099587790912682"/>
    <n v="0.16272560614379211"/>
    <n v="10"/>
    <x v="2"/>
  </r>
  <r>
    <d v="2023-06-11T06:00:00"/>
    <n v="22.401015056634311"/>
    <n v="49.876831344913903"/>
    <n v="262.87086379043961"/>
    <n v="4.5431170472395568"/>
    <n v="1.5981330136086129"/>
    <n v="6"/>
    <x v="2"/>
  </r>
  <r>
    <d v="2023-03-08T10:00:00"/>
    <n v="23.495512423681319"/>
    <n v="49.438877898114612"/>
    <n v="174.15417774475651"/>
    <n v="2.1940247160812372"/>
    <n v="0.84734491081402163"/>
    <n v="10"/>
    <x v="2"/>
  </r>
  <r>
    <d v="2023-10-29T08:00:00"/>
    <n v="20.71631122819802"/>
    <n v="43.858026216001143"/>
    <n v="886.34859951705732"/>
    <n v="1.3546536267794571"/>
    <n v="0.69681450306310055"/>
    <n v="8"/>
    <x v="2"/>
  </r>
  <r>
    <d v="2023-08-22T19:00:00"/>
    <n v="28.162301680574799"/>
    <n v="55.405913419613363"/>
    <n v="175.1089007672843"/>
    <n v="4.5136086063904397"/>
    <n v="1.0785918718178049"/>
    <n v="19"/>
    <x v="0"/>
  </r>
  <r>
    <d v="2023-07-11T03:00:00"/>
    <n v="20.709990922629942"/>
    <n v="46.061704233803411"/>
    <n v="611.84835913549387"/>
    <n v="2.6662535281047832"/>
    <n v="1.3759646301534501"/>
    <n v="3"/>
    <x v="0"/>
  </r>
  <r>
    <d v="2023-02-01T18:00:00"/>
    <n v="22.987968142454498"/>
    <n v="59.979173971790388"/>
    <n v="812.12716649555625"/>
    <n v="2.7623102786347409"/>
    <n v="1.857208117825728"/>
    <n v="18"/>
    <x v="1"/>
  </r>
  <r>
    <d v="2023-03-13T03:00:00"/>
    <n v="29.256329124393531"/>
    <n v="65.0633029467661"/>
    <n v="250.7865843055971"/>
    <n v="4.9341541713976893"/>
    <n v="0.14943376885891721"/>
    <n v="3"/>
    <x v="0"/>
  </r>
  <r>
    <d v="2023-10-04T14:00:00"/>
    <n v="25.59409684602505"/>
    <n v="49.589258590650211"/>
    <n v="681.68507480308313"/>
    <n v="2.6353707425861801"/>
    <n v="0.67887589415078364"/>
    <n v="14"/>
    <x v="1"/>
  </r>
  <r>
    <d v="2023-11-22T18:00:00"/>
    <n v="22.178799196262261"/>
    <n v="56.102093001401322"/>
    <n v="757.55980383550047"/>
    <n v="3.2947184043650739"/>
    <n v="0.17684531179696469"/>
    <n v="18"/>
    <x v="1"/>
  </r>
  <r>
    <d v="2023-08-15T16:00:00"/>
    <n v="29.928871654632271"/>
    <n v="41.821479713261922"/>
    <n v="736.47219366787317"/>
    <n v="3.9491645669371209"/>
    <n v="1.7019495465198109"/>
    <n v="16"/>
    <x v="1"/>
  </r>
  <r>
    <d v="2023-09-16T21:00:00"/>
    <n v="28.807294821624939"/>
    <n v="55.016111921070021"/>
    <n v="146.53875226334711"/>
    <n v="1.9007937461147479"/>
    <n v="1.43672183734077"/>
    <n v="21"/>
    <x v="0"/>
  </r>
  <r>
    <d v="2023-09-03T03:00:00"/>
    <n v="20.681802726723021"/>
    <n v="55.409575741798591"/>
    <n v="677.42979893012819"/>
    <n v="2.078791683307343"/>
    <n v="0.61408341478419837"/>
    <n v="3"/>
    <x v="0"/>
  </r>
  <r>
    <d v="2023-12-23T03:00:00"/>
    <n v="22.302850623342241"/>
    <n v="50.478996998341927"/>
    <n v="241.40451901482371"/>
    <n v="3.9553015476897748"/>
    <n v="1.5618299054453531"/>
    <n v="3"/>
    <x v="0"/>
  </r>
  <r>
    <d v="2023-02-03T21:00:00"/>
    <n v="26.422605933113189"/>
    <n v="36.393842318722399"/>
    <n v="371.76963065788777"/>
    <n v="4.2285791404505737"/>
    <n v="1.3034216476909379"/>
    <n v="21"/>
    <x v="0"/>
  </r>
  <r>
    <d v="2023-02-20T10:00:00"/>
    <n v="21.988031570029619"/>
    <n v="59.012394676621938"/>
    <n v="935.93234042513757"/>
    <n v="1.802385837268675"/>
    <n v="1.3542480160025849"/>
    <n v="10"/>
    <x v="2"/>
  </r>
  <r>
    <d v="2023-04-17T08:00:00"/>
    <n v="25.371779333788918"/>
    <n v="42.786564385306107"/>
    <n v="147.00838985929661"/>
    <n v="2.2349564533159878"/>
    <n v="1.525816455196328"/>
    <n v="8"/>
    <x v="2"/>
  </r>
  <r>
    <d v="2023-02-28T23:00:00"/>
    <n v="21.658607607204651"/>
    <n v="45.528591616041609"/>
    <n v="875.5557880292647"/>
    <n v="1.034885189646275"/>
    <n v="0.4058568454207494"/>
    <n v="23"/>
    <x v="0"/>
  </r>
  <r>
    <d v="2023-02-13T22:00:00"/>
    <n v="26.727055088706361"/>
    <n v="64.061754089934567"/>
    <n v="596.10480049160014"/>
    <n v="2.5393308498091618"/>
    <n v="1.240873646779195"/>
    <n v="22"/>
    <x v="0"/>
  </r>
  <r>
    <d v="2023-01-09T08:00:00"/>
    <n v="25.312361169926771"/>
    <n v="57.245002163621848"/>
    <n v="128.1908727758335"/>
    <n v="4.6044597026717717"/>
    <n v="1.083521569502033"/>
    <n v="8"/>
    <x v="2"/>
  </r>
  <r>
    <d v="2023-01-17T10:00:00"/>
    <n v="29.69432243600199"/>
    <n v="33.306835884998058"/>
    <n v="778.59687777223394"/>
    <n v="2.6053618641366931"/>
    <n v="0.74690918831085917"/>
    <n v="10"/>
    <x v="2"/>
  </r>
  <r>
    <d v="2023-06-09T16:00:00"/>
    <n v="21.338132775497328"/>
    <n v="52.615163539896933"/>
    <n v="871.7518660228875"/>
    <n v="4.0360596797624124"/>
    <n v="1.4881852571686669"/>
    <n v="16"/>
    <x v="1"/>
  </r>
  <r>
    <d v="2023-04-05T01:00:00"/>
    <n v="25.307212491581222"/>
    <n v="33.476804576338537"/>
    <n v="511.796411955677"/>
    <n v="1.229548195233755"/>
    <n v="0.92505620833372004"/>
    <n v="1"/>
    <x v="0"/>
  </r>
  <r>
    <d v="2023-06-17T13:00:00"/>
    <n v="23.117238896348951"/>
    <n v="55.818259610150157"/>
    <n v="812.6552728840328"/>
    <n v="3.351578989858897"/>
    <n v="0.99312935647003997"/>
    <n v="13"/>
    <x v="1"/>
  </r>
  <r>
    <d v="2023-12-09T17:00:00"/>
    <n v="26.126887629156769"/>
    <n v="45.786092486428117"/>
    <n v="919.42374718419137"/>
    <n v="4.8161756559705307"/>
    <n v="0.49754547499323382"/>
    <n v="17"/>
    <x v="1"/>
  </r>
  <r>
    <d v="2023-03-06T00:00:00"/>
    <n v="22.03255540490207"/>
    <n v="62.519958285764183"/>
    <n v="611.40673718882158"/>
    <n v="4.9375361526759312"/>
    <n v="1.5040126344763509"/>
    <n v="0"/>
    <x v="0"/>
  </r>
  <r>
    <d v="2023-03-17T22:00:00"/>
    <n v="29.253924603308459"/>
    <n v="61.207152736652453"/>
    <n v="925.02200099718004"/>
    <n v="3.3136155292343341"/>
    <n v="0.1201408418275739"/>
    <n v="22"/>
    <x v="0"/>
  </r>
  <r>
    <d v="2023-08-05T17:00:00"/>
    <n v="24.379218171504618"/>
    <n v="69.988335150997074"/>
    <n v="475.27746642808052"/>
    <n v="1.057275784458992"/>
    <n v="1.0447420290305001"/>
    <n v="17"/>
    <x v="1"/>
  </r>
  <r>
    <d v="2023-10-08T23:00:00"/>
    <n v="24.317713808573579"/>
    <n v="41.966810910108329"/>
    <n v="830.67863139261101"/>
    <n v="4.3595825718987884"/>
    <n v="1.121525238276966"/>
    <n v="23"/>
    <x v="0"/>
  </r>
  <r>
    <d v="2023-06-17T22:00:00"/>
    <n v="27.86325043156932"/>
    <n v="37.003151830559688"/>
    <n v="802.59939948589943"/>
    <n v="3.938860742449815"/>
    <n v="0.60841060287474635"/>
    <n v="22"/>
    <x v="0"/>
  </r>
  <r>
    <d v="2023-12-29T10:00:00"/>
    <n v="29.075182697110812"/>
    <n v="37.412729535363113"/>
    <n v="747.03688517016155"/>
    <n v="1.0987247309550441"/>
    <n v="0.42019438370762557"/>
    <n v="10"/>
    <x v="2"/>
  </r>
  <r>
    <d v="2023-06-07T14:00:00"/>
    <n v="24.93973762071402"/>
    <n v="53.956759467669137"/>
    <n v="470.30143960302843"/>
    <n v="4.0266475466669709"/>
    <n v="0.76112636871102879"/>
    <n v="14"/>
    <x v="1"/>
  </r>
  <r>
    <d v="2023-04-05T02:00:00"/>
    <n v="27.71289228313459"/>
    <n v="43.381766043129979"/>
    <n v="521.40422013913917"/>
    <n v="3.8779933344176749"/>
    <n v="0.30114926545553822"/>
    <n v="2"/>
    <x v="0"/>
  </r>
  <r>
    <d v="2023-01-14T19:00:00"/>
    <n v="21.439409634925319"/>
    <n v="66.27419319597405"/>
    <n v="288.45488928578891"/>
    <n v="1.3863711769806299"/>
    <n v="1.4702476572397081"/>
    <n v="19"/>
    <x v="0"/>
  </r>
  <r>
    <d v="2023-04-06T10:00:00"/>
    <n v="22.524091112789382"/>
    <n v="33.174250027858221"/>
    <n v="350.27770669927378"/>
    <n v="3.1455089846446591"/>
    <n v="1.2041529614940589"/>
    <n v="10"/>
    <x v="2"/>
  </r>
  <r>
    <d v="2023-12-04T08:00:00"/>
    <n v="26.929903137003979"/>
    <n v="60.592672476775753"/>
    <n v="714.03413905629486"/>
    <n v="3.195503909918469"/>
    <n v="0.17936103833663111"/>
    <n v="8"/>
    <x v="2"/>
  </r>
  <r>
    <d v="2023-09-01T17:00:00"/>
    <n v="29.267471088454482"/>
    <n v="49.588425801216211"/>
    <n v="392.89485441790151"/>
    <n v="4.5794198584391772"/>
    <n v="1.912276624208928"/>
    <n v="17"/>
    <x v="1"/>
  </r>
  <r>
    <d v="2023-12-24T23:00:00"/>
    <n v="21.172087443791401"/>
    <n v="55.497337440440333"/>
    <n v="751.86667486646741"/>
    <n v="2.7724889577382452"/>
    <n v="1.566348121335555"/>
    <n v="23"/>
    <x v="0"/>
  </r>
  <r>
    <d v="2023-09-17T00:00:00"/>
    <n v="21.34387193685405"/>
    <n v="53.512969781990421"/>
    <n v="661.96940541707295"/>
    <n v="3.2366302400643399"/>
    <n v="1.951340591067227"/>
    <n v="0"/>
    <x v="0"/>
  </r>
  <r>
    <d v="2023-09-02T08:00:00"/>
    <n v="29.75227237162045"/>
    <n v="51.210344156966158"/>
    <n v="420.81725173994857"/>
    <n v="3.2037857650761872"/>
    <n v="1.321263375149714"/>
    <n v="8"/>
    <x v="2"/>
  </r>
  <r>
    <d v="2023-06-02T17:00:00"/>
    <n v="20.912363591982562"/>
    <n v="57.933894198735267"/>
    <n v="250.85646657641391"/>
    <n v="3.077503746315891"/>
    <n v="1.8900160693571351"/>
    <n v="17"/>
    <x v="1"/>
  </r>
  <r>
    <d v="2023-06-04T10:00:00"/>
    <n v="20.42895897284016"/>
    <n v="51.828253551432987"/>
    <n v="387.77777704149872"/>
    <n v="4.412633928405775"/>
    <n v="1.625992443135448"/>
    <n v="10"/>
    <x v="2"/>
  </r>
  <r>
    <d v="2023-08-23T18:00:00"/>
    <n v="25.317543354427279"/>
    <n v="66.898867906904655"/>
    <n v="428.70678227963299"/>
    <n v="4.7865172782889251"/>
    <n v="0.68646238746305299"/>
    <n v="18"/>
    <x v="1"/>
  </r>
  <r>
    <d v="2023-02-15T21:00:00"/>
    <n v="22.244113209506789"/>
    <n v="52.067103435897501"/>
    <n v="681.20396269395212"/>
    <n v="4.6596879544808889"/>
    <n v="1.5328810000018041"/>
    <n v="21"/>
    <x v="0"/>
  </r>
  <r>
    <d v="2023-12-28T18:00:00"/>
    <n v="22.9762656768341"/>
    <n v="66.786629296665723"/>
    <n v="155.63991777679061"/>
    <n v="1.7858065742117859"/>
    <n v="0.33105238218526167"/>
    <n v="18"/>
    <x v="1"/>
  </r>
  <r>
    <d v="2023-03-17T03:00:00"/>
    <n v="26.178936933811642"/>
    <n v="62.25340310835071"/>
    <n v="879.50350704108223"/>
    <n v="4.4719993998731704"/>
    <n v="1.062063777040879"/>
    <n v="3"/>
    <x v="0"/>
  </r>
  <r>
    <d v="2023-08-04T02:00:00"/>
    <n v="23.512464366663689"/>
    <n v="63.901914270168398"/>
    <n v="662.77018430824489"/>
    <n v="2.271019282041931"/>
    <n v="1.8266670220726999"/>
    <n v="2"/>
    <x v="0"/>
  </r>
  <r>
    <d v="2023-01-03T22:00:00"/>
    <n v="29.956542146624461"/>
    <n v="65.89149896770634"/>
    <n v="147.85982186280671"/>
    <n v="1.0512460086663731"/>
    <n v="1.0967787274989269"/>
    <n v="22"/>
    <x v="0"/>
  </r>
  <r>
    <d v="2023-01-28T14:00:00"/>
    <n v="22.282210315043109"/>
    <n v="38.102256913798612"/>
    <n v="326.31027587121838"/>
    <n v="3.1324971139488169"/>
    <n v="1.8987526658624549"/>
    <n v="14"/>
    <x v="1"/>
  </r>
  <r>
    <d v="2023-10-22T03:00:00"/>
    <n v="28.65275405155818"/>
    <n v="43.702184716281593"/>
    <n v="235.54566043543011"/>
    <n v="1.377092641741632"/>
    <n v="0.82536494289943252"/>
    <n v="3"/>
    <x v="0"/>
  </r>
  <r>
    <d v="2023-12-29T11:00:00"/>
    <n v="28.752227692976199"/>
    <n v="65.974958103027177"/>
    <n v="623.65650976766779"/>
    <n v="2.9972329579164718"/>
    <n v="1.095891793277628"/>
    <n v="11"/>
    <x v="2"/>
  </r>
  <r>
    <d v="2023-10-26T19:00:00"/>
    <n v="24.37586399018836"/>
    <n v="35.968591660841859"/>
    <n v="612.11482885644114"/>
    <n v="3.9591017061235458"/>
    <n v="1.182041382760278"/>
    <n v="19"/>
    <x v="0"/>
  </r>
  <r>
    <d v="2023-02-12T00:00:00"/>
    <n v="29.97336310379082"/>
    <n v="49.605795686967141"/>
    <n v="427.7862741481664"/>
    <n v="4.3831003247106288"/>
    <n v="1.924945598736695"/>
    <n v="0"/>
    <x v="0"/>
  </r>
  <r>
    <d v="2023-12-27T20:00:00"/>
    <n v="22.828002999075249"/>
    <n v="34.189941931106887"/>
    <n v="783.79926285812405"/>
    <n v="2.2912534831271141"/>
    <n v="1.4445948747097179"/>
    <n v="20"/>
    <x v="0"/>
  </r>
  <r>
    <d v="2023-08-27T22:00:00"/>
    <n v="20.91063737230413"/>
    <n v="36.101872263212663"/>
    <n v="155.5949458895208"/>
    <n v="4.3552154355258512"/>
    <n v="1.2301487333082499"/>
    <n v="22"/>
    <x v="0"/>
  </r>
  <r>
    <d v="2023-01-08T08:00:00"/>
    <n v="25.671949745085879"/>
    <n v="53.555571432949847"/>
    <n v="844.63279926273731"/>
    <n v="1.228520594221747"/>
    <n v="0.2248472605160832"/>
    <n v="8"/>
    <x v="2"/>
  </r>
  <r>
    <d v="2023-02-15T03:00:00"/>
    <n v="20.07471774647275"/>
    <n v="45.844060624055807"/>
    <n v="899.67531196894947"/>
    <n v="3.4624857402316001"/>
    <n v="0.52380798280904417"/>
    <n v="3"/>
    <x v="0"/>
  </r>
  <r>
    <d v="2023-06-27T23:00:00"/>
    <n v="24.741637548881361"/>
    <n v="46.947685024868328"/>
    <n v="267.28845867288658"/>
    <n v="2.3982789752347311"/>
    <n v="0.33439138857991813"/>
    <n v="23"/>
    <x v="0"/>
  </r>
  <r>
    <d v="2023-04-09T11:00:00"/>
    <n v="28.368037913632779"/>
    <n v="50.325258070139967"/>
    <n v="946.39990890262675"/>
    <n v="3.1950081744092822"/>
    <n v="1.071200833167822"/>
    <n v="11"/>
    <x v="2"/>
  </r>
  <r>
    <d v="2023-10-19T18:00:00"/>
    <n v="24.197070758260839"/>
    <n v="56.42911647986422"/>
    <n v="759.12865137826748"/>
    <n v="1.767791169386558"/>
    <n v="1.982553207891949"/>
    <n v="18"/>
    <x v="1"/>
  </r>
  <r>
    <d v="2023-05-15T12:00:00"/>
    <n v="22.039923690337801"/>
    <n v="49.973178976819128"/>
    <n v="904.10120932743632"/>
    <n v="1.9249407121711219"/>
    <n v="1.6913533682297519"/>
    <n v="12"/>
    <x v="2"/>
  </r>
  <r>
    <d v="2023-01-06T09:00:00"/>
    <n v="22.556555505679189"/>
    <n v="43.67089555908727"/>
    <n v="812.33366934666844"/>
    <n v="4.3455428881906624"/>
    <n v="1.0287867097458989"/>
    <n v="9"/>
    <x v="2"/>
  </r>
  <r>
    <d v="2023-04-14T06:00:00"/>
    <n v="29.138082273681881"/>
    <n v="37.71233898888547"/>
    <n v="161.12083514917211"/>
    <n v="4.1903753358336946"/>
    <n v="1.077347415738459"/>
    <n v="6"/>
    <x v="2"/>
  </r>
  <r>
    <d v="2023-11-18T20:00:00"/>
    <n v="26.622127041301269"/>
    <n v="48.578925497832202"/>
    <n v="322.20412667255118"/>
    <n v="4.417307550555142"/>
    <n v="0.1784871249054672"/>
    <n v="20"/>
    <x v="0"/>
  </r>
  <r>
    <d v="2023-12-05T15:00:00"/>
    <n v="21.613118662750249"/>
    <n v="45.022121138176232"/>
    <n v="865.79793473624636"/>
    <n v="2.9135518780040619"/>
    <n v="1.6870494078468281"/>
    <n v="15"/>
    <x v="1"/>
  </r>
  <r>
    <d v="2023-10-27T19:00:00"/>
    <n v="24.631934607494969"/>
    <n v="62.617809673562007"/>
    <n v="143.27769230389231"/>
    <n v="3.64852627713084"/>
    <n v="0.82547892011999879"/>
    <n v="19"/>
    <x v="0"/>
  </r>
  <r>
    <d v="2023-01-23T01:00:00"/>
    <n v="26.14593793345415"/>
    <n v="30.611887419497211"/>
    <n v="738.28798971062349"/>
    <n v="2.832766501581677"/>
    <n v="0.15253825124262199"/>
    <n v="1"/>
    <x v="0"/>
  </r>
  <r>
    <d v="2023-06-19T21:00:00"/>
    <n v="25.051404107654751"/>
    <n v="52.81591148455886"/>
    <n v="713.21090250600639"/>
    <n v="1.9964966308340071"/>
    <n v="1.856162609921908"/>
    <n v="21"/>
    <x v="0"/>
  </r>
  <r>
    <d v="2023-03-04T08:00:00"/>
    <n v="27.850888711009109"/>
    <n v="54.738370599366348"/>
    <n v="499.61041246171698"/>
    <n v="1.0247908482253529"/>
    <n v="0.93576585707840454"/>
    <n v="8"/>
    <x v="2"/>
  </r>
  <r>
    <d v="2023-01-04T13:00:00"/>
    <n v="20.062924527236859"/>
    <n v="69.515861763155513"/>
    <n v="617.34290043810165"/>
    <n v="4.6792270229950201"/>
    <n v="1.3816860614451749"/>
    <n v="13"/>
    <x v="1"/>
  </r>
  <r>
    <d v="2023-04-17T23:00:00"/>
    <n v="22.81064349922563"/>
    <n v="65.41456869842591"/>
    <n v="334.4806490537527"/>
    <n v="3.788413950912044"/>
    <n v="1.126089922566448"/>
    <n v="23"/>
    <x v="0"/>
  </r>
  <r>
    <d v="2023-07-28T15:00:00"/>
    <n v="25.745907120790601"/>
    <n v="50.702690901026067"/>
    <n v="631.59320006533903"/>
    <n v="4.1273271927564696"/>
    <n v="1.600342757361088"/>
    <n v="15"/>
    <x v="1"/>
  </r>
  <r>
    <d v="2023-02-10T09:00:00"/>
    <n v="25.388997537701051"/>
    <n v="41.540618104868507"/>
    <n v="719.27390079591987"/>
    <n v="1.296454187226014"/>
    <n v="1.9285205686157481"/>
    <n v="9"/>
    <x v="2"/>
  </r>
  <r>
    <d v="2023-12-15T07:00:00"/>
    <n v="21.040801969440459"/>
    <n v="30.407399964469271"/>
    <n v="447.05811663738473"/>
    <n v="4.5316417332223136"/>
    <n v="1.279834595543996"/>
    <n v="7"/>
    <x v="2"/>
  </r>
  <r>
    <d v="2023-10-11T13:00:00"/>
    <n v="21.752161101276052"/>
    <n v="39.631231138530147"/>
    <n v="233.2264116232183"/>
    <n v="1.58693839799975"/>
    <n v="0.32214633345010751"/>
    <n v="13"/>
    <x v="1"/>
  </r>
  <r>
    <d v="2023-11-30T20:00:00"/>
    <n v="27.52958723063567"/>
    <n v="63.897415552806301"/>
    <n v="950.45893180022347"/>
    <n v="4.3721643439279401"/>
    <n v="1.2176218764083011"/>
    <n v="20"/>
    <x v="0"/>
  </r>
  <r>
    <d v="2023-01-06T00:00:00"/>
    <n v="25.347854850226"/>
    <n v="68.930249677273835"/>
    <n v="990.55342371958113"/>
    <n v="4.0588810439419198"/>
    <n v="0.1602447174905762"/>
    <n v="0"/>
    <x v="0"/>
  </r>
  <r>
    <d v="2023-06-08T12:00:00"/>
    <n v="26.399673709743769"/>
    <n v="58.042169667404757"/>
    <n v="162.92725028909129"/>
    <n v="3.9552728381908651"/>
    <n v="0.75519818494669821"/>
    <n v="12"/>
    <x v="2"/>
  </r>
  <r>
    <d v="2023-02-24T05:00:00"/>
    <n v="28.167522208877049"/>
    <n v="54.154168327907051"/>
    <n v="150.08725858907249"/>
    <n v="3.7487907243474239"/>
    <n v="0.24057718910482501"/>
    <n v="5"/>
    <x v="0"/>
  </r>
  <r>
    <d v="2023-07-14T17:00:00"/>
    <n v="25.838266818344579"/>
    <n v="54.249365263635767"/>
    <n v="426.40974405425789"/>
    <n v="1.8100068428911029"/>
    <n v="0.64284976529901439"/>
    <n v="17"/>
    <x v="1"/>
  </r>
  <r>
    <d v="2023-11-29T13:00:00"/>
    <n v="23.13949416588606"/>
    <n v="55.996305165472272"/>
    <n v="945.52231576066868"/>
    <n v="3.631163792011487"/>
    <n v="1.8075847995325871"/>
    <n v="13"/>
    <x v="1"/>
  </r>
  <r>
    <d v="2023-08-06T05:00:00"/>
    <n v="25.232502936403161"/>
    <n v="30.071564745865569"/>
    <n v="441.97088278788931"/>
    <n v="1.434361361745141"/>
    <n v="0.50250924005156705"/>
    <n v="5"/>
    <x v="0"/>
  </r>
  <r>
    <d v="2023-06-25T02:00:00"/>
    <n v="21.303916954529399"/>
    <n v="44.798336153402232"/>
    <n v="305.93156205579498"/>
    <n v="4.4384698180773352"/>
    <n v="1.5867689900813799"/>
    <n v="2"/>
    <x v="0"/>
  </r>
  <r>
    <d v="2023-07-02T00:00:00"/>
    <n v="22.720772324994769"/>
    <n v="43.171152884602698"/>
    <n v="978.59706328878667"/>
    <n v="1.8014828827061971"/>
    <n v="0.85314370900160574"/>
    <n v="0"/>
    <x v="0"/>
  </r>
  <r>
    <d v="2023-12-21T00:00:00"/>
    <n v="26.55130402478305"/>
    <n v="69.117327564209972"/>
    <n v="310.20002027793038"/>
    <n v="2.758421324646648"/>
    <n v="0.80149263840881979"/>
    <n v="0"/>
    <x v="0"/>
  </r>
  <r>
    <d v="2023-09-02T05:00:00"/>
    <n v="20.41111001141806"/>
    <n v="30.029067961122632"/>
    <n v="716.21276616756757"/>
    <n v="4.6241779936505836"/>
    <n v="1.7043484175709249"/>
    <n v="5"/>
    <x v="0"/>
  </r>
  <r>
    <d v="2023-05-30T09:00:00"/>
    <n v="20.008509340913879"/>
    <n v="59.453788679065752"/>
    <n v="200.5385836687671"/>
    <n v="4.1817093263015579"/>
    <n v="0.88406266893987684"/>
    <n v="9"/>
    <x v="2"/>
  </r>
  <r>
    <d v="2023-01-01T14:00:00"/>
    <n v="28.870724235370631"/>
    <n v="46.21147646895956"/>
    <n v="668.92687226911858"/>
    <n v="1.152488997107195"/>
    <n v="1.9665731454285511"/>
    <n v="14"/>
    <x v="1"/>
  </r>
  <r>
    <d v="2023-02-05T05:00:00"/>
    <n v="29.643288152633769"/>
    <n v="32.590414981377108"/>
    <n v="230.45713858963009"/>
    <n v="2.9540246678745472"/>
    <n v="0.47781293681233028"/>
    <n v="5"/>
    <x v="0"/>
  </r>
  <r>
    <d v="2023-09-24T06:00:00"/>
    <n v="29.0561266253113"/>
    <n v="44.438114431749263"/>
    <n v="350.83535814716788"/>
    <n v="3.100584551253462"/>
    <n v="1.771031277106426"/>
    <n v="6"/>
    <x v="2"/>
  </r>
  <r>
    <d v="2023-07-11T01:00:00"/>
    <n v="22.154615635363069"/>
    <n v="35.113952406761669"/>
    <n v="492.84936314093972"/>
    <n v="4.3411328113904819"/>
    <n v="0.61506559177965103"/>
    <n v="1"/>
    <x v="0"/>
  </r>
  <r>
    <d v="2023-10-06T08:00:00"/>
    <n v="27.54657803587358"/>
    <n v="31.494398540245619"/>
    <n v="788.51518225436041"/>
    <n v="3.387860850124353"/>
    <n v="1.1550979452891921"/>
    <n v="8"/>
    <x v="2"/>
  </r>
  <r>
    <d v="2023-01-20T10:00:00"/>
    <n v="24.5646800063321"/>
    <n v="57.338122491544183"/>
    <n v="599.6425835314426"/>
    <n v="1.263697814781287"/>
    <n v="0.32767222773129762"/>
    <n v="10"/>
    <x v="2"/>
  </r>
  <r>
    <d v="2023-12-02T01:00:00"/>
    <n v="20.709438677124311"/>
    <n v="30.98738296184262"/>
    <n v="262.06810023950339"/>
    <n v="2.6789233773205279"/>
    <n v="0.18905835650802391"/>
    <n v="1"/>
    <x v="0"/>
  </r>
  <r>
    <d v="2023-09-22T08:00:00"/>
    <n v="27.9498614510326"/>
    <n v="30.478564160414759"/>
    <n v="779.40805683507358"/>
    <n v="3.6408014909488622"/>
    <n v="0.80825799411231647"/>
    <n v="8"/>
    <x v="2"/>
  </r>
  <r>
    <d v="2023-05-14T13:00:00"/>
    <n v="28.081747566824031"/>
    <n v="47.039360980646308"/>
    <n v="673.95170155027904"/>
    <n v="4.9521377730786327"/>
    <n v="0.44063869141589712"/>
    <n v="13"/>
    <x v="1"/>
  </r>
  <r>
    <d v="2023-04-09T06:00:00"/>
    <n v="27.219775071655562"/>
    <n v="35.222613996023952"/>
    <n v="117.3036307105377"/>
    <n v="2.5363372059392808"/>
    <n v="1.027586190239133"/>
    <n v="6"/>
    <x v="2"/>
  </r>
  <r>
    <d v="2023-09-13T14:00:00"/>
    <n v="29.965507499236121"/>
    <n v="47.845104617187189"/>
    <n v="159.03903044729881"/>
    <n v="4.9383730422542182"/>
    <n v="0.56168486672389106"/>
    <n v="14"/>
    <x v="1"/>
  </r>
  <r>
    <d v="2023-07-17T23:00:00"/>
    <n v="29.921171349526549"/>
    <n v="44.641372716565883"/>
    <n v="182.90529460212599"/>
    <n v="3.1954434100141542"/>
    <n v="0.17386005353885919"/>
    <n v="23"/>
    <x v="0"/>
  </r>
  <r>
    <d v="2023-09-19T01:00:00"/>
    <n v="21.794204024474141"/>
    <n v="34.091094121579687"/>
    <n v="324.55567434016552"/>
    <n v="2.8550162060986168"/>
    <n v="1.464757221921918"/>
    <n v="1"/>
    <x v="0"/>
  </r>
  <r>
    <d v="2023-08-05T19:00:00"/>
    <n v="27.954124637329599"/>
    <n v="55.588287039588529"/>
    <n v="349.04784611239569"/>
    <n v="2.661736031306897"/>
    <n v="0.73422055200189673"/>
    <n v="19"/>
    <x v="0"/>
  </r>
  <r>
    <d v="2023-01-31T06:00:00"/>
    <n v="26.5982409758277"/>
    <n v="55.988887451943022"/>
    <n v="709.7393807705314"/>
    <n v="3.3173578422015439"/>
    <n v="0.42737378227598583"/>
    <n v="6"/>
    <x v="2"/>
  </r>
  <r>
    <d v="2023-01-10T09:00:00"/>
    <n v="27.264679366833111"/>
    <n v="55.787116135298803"/>
    <n v="685.29578204668894"/>
    <n v="2.7141461281268842"/>
    <n v="1.901149698181239"/>
    <n v="9"/>
    <x v="2"/>
  </r>
  <r>
    <d v="2023-05-27T00:00:00"/>
    <n v="29.909005019524251"/>
    <n v="64.58520040245547"/>
    <n v="884.8028608445112"/>
    <n v="2.5339023743311868"/>
    <n v="1.02826241465343"/>
    <n v="0"/>
    <x v="0"/>
  </r>
  <r>
    <d v="2023-02-20T06:00:00"/>
    <n v="28.366192502605571"/>
    <n v="30.270949629697931"/>
    <n v="833.78306387608689"/>
    <n v="4.9126759833956681"/>
    <n v="1.169621142714748"/>
    <n v="6"/>
    <x v="2"/>
  </r>
  <r>
    <d v="2023-02-18T20:00:00"/>
    <n v="23.915172929450531"/>
    <n v="31.109400839125669"/>
    <n v="809.69580322519357"/>
    <n v="2.9780333436480939"/>
    <n v="1.9282247417502061"/>
    <n v="20"/>
    <x v="0"/>
  </r>
  <r>
    <d v="2023-01-13T15:00:00"/>
    <n v="29.3746562043364"/>
    <n v="50.926611439284898"/>
    <n v="630.01587774578672"/>
    <n v="4.1207546355566427"/>
    <n v="0.32449336083933039"/>
    <n v="15"/>
    <x v="1"/>
  </r>
  <r>
    <d v="2023-09-29T04:00:00"/>
    <n v="28.75165476141159"/>
    <n v="48.640621121666463"/>
    <n v="195.9694014518648"/>
    <n v="3.0251934546754118"/>
    <n v="0.44631176746436702"/>
    <n v="4"/>
    <x v="0"/>
  </r>
  <r>
    <d v="2023-05-21T05:00:00"/>
    <n v="27.062335771512121"/>
    <n v="69.622699012002698"/>
    <n v="718.97368627592834"/>
    <n v="1.92772627703036"/>
    <n v="1.449389087251636"/>
    <n v="5"/>
    <x v="0"/>
  </r>
  <r>
    <d v="2023-10-07T03:00:00"/>
    <n v="29.369593329470121"/>
    <n v="44.301442785967382"/>
    <n v="372.08934594581422"/>
    <n v="4.7934722454702126"/>
    <n v="1.1654976395443539"/>
    <n v="3"/>
    <x v="0"/>
  </r>
  <r>
    <d v="2023-04-15T11:00:00"/>
    <n v="24.622667656054851"/>
    <n v="45.564167775054401"/>
    <n v="805.05527536469015"/>
    <n v="4.5252279717151458"/>
    <n v="0.88901654944959341"/>
    <n v="11"/>
    <x v="2"/>
  </r>
  <r>
    <d v="2023-01-07T13:00:00"/>
    <n v="27.13256231917245"/>
    <n v="63.428254769611208"/>
    <n v="430.01810543203021"/>
    <n v="1.5677335806740691"/>
    <n v="0.3130945629954095"/>
    <n v="13"/>
    <x v="1"/>
  </r>
  <r>
    <d v="2023-11-25T10:00:00"/>
    <n v="20.040872947231481"/>
    <n v="54.923687134556253"/>
    <n v="220.9654314458642"/>
    <n v="4.5399292708252847"/>
    <n v="1.209524160603157"/>
    <n v="10"/>
    <x v="2"/>
  </r>
  <r>
    <d v="2023-11-14T20:00:00"/>
    <n v="25.685810818928001"/>
    <n v="32.843004839934743"/>
    <n v="644.77756952959294"/>
    <n v="1.7880558846657819"/>
    <n v="0.93874621459551988"/>
    <n v="20"/>
    <x v="0"/>
  </r>
  <r>
    <d v="2023-12-22T03:00:00"/>
    <n v="27.2368906610292"/>
    <n v="32.306371793671381"/>
    <n v="894.52487560419559"/>
    <n v="3.2744533183003539"/>
    <n v="1.3750258425205559"/>
    <n v="3"/>
    <x v="0"/>
  </r>
  <r>
    <d v="2023-09-08T23:00:00"/>
    <n v="23.83011882498732"/>
    <n v="51.142072119495829"/>
    <n v="258.27230573583762"/>
    <n v="4.7240609707865726"/>
    <n v="0.67080124304538979"/>
    <n v="23"/>
    <x v="0"/>
  </r>
  <r>
    <d v="2023-09-27T19:00:00"/>
    <n v="28.679182741729932"/>
    <n v="45.870894073045889"/>
    <n v="364.98332487333317"/>
    <n v="3.2579726830871119"/>
    <n v="0.86476910823564979"/>
    <n v="19"/>
    <x v="0"/>
  </r>
  <r>
    <d v="2023-04-06T09:00:00"/>
    <n v="24.850678073045948"/>
    <n v="59.417253254006773"/>
    <n v="337.9905845767334"/>
    <n v="1.84651402817595"/>
    <n v="0.6852311973814168"/>
    <n v="9"/>
    <x v="2"/>
  </r>
  <r>
    <d v="2023-08-22T03:00:00"/>
    <n v="22.82551355838967"/>
    <n v="55.122487383081172"/>
    <n v="804.04944793600555"/>
    <n v="2.05981580837883"/>
    <n v="0.48177078420934011"/>
    <n v="3"/>
    <x v="0"/>
  </r>
  <r>
    <d v="2023-10-05T16:00:00"/>
    <n v="25.49445025869662"/>
    <n v="30.012261488445489"/>
    <n v="236.96138316485559"/>
    <n v="3.7142830482461151"/>
    <n v="1.065226473201214"/>
    <n v="16"/>
    <x v="1"/>
  </r>
  <r>
    <d v="2023-08-21T10:00:00"/>
    <n v="29.055157676783569"/>
    <n v="30.675106293164092"/>
    <n v="496.35067749979618"/>
    <n v="3.988158595225181"/>
    <n v="1.6753636394635441"/>
    <n v="10"/>
    <x v="2"/>
  </r>
  <r>
    <d v="2023-12-10T11:00:00"/>
    <n v="26.824488655741739"/>
    <n v="63.588579461013978"/>
    <n v="438.94254848231969"/>
    <n v="3.3670089426060961"/>
    <n v="0.1654213681954729"/>
    <n v="11"/>
    <x v="2"/>
  </r>
  <r>
    <d v="2023-12-23T15:00:00"/>
    <n v="29.500793502054751"/>
    <n v="36.583407204952479"/>
    <n v="792.39780556167193"/>
    <n v="2.1257031354202911"/>
    <n v="1.0222201995819371"/>
    <n v="15"/>
    <x v="1"/>
  </r>
  <r>
    <d v="2023-01-06T15:00:00"/>
    <n v="24.476192759008249"/>
    <n v="52.783820704759798"/>
    <n v="495.47125680349637"/>
    <n v="1.747083210742161"/>
    <n v="1.5289927420092271"/>
    <n v="15"/>
    <x v="1"/>
  </r>
  <r>
    <d v="2023-12-09T15:00:00"/>
    <n v="26.584794920331209"/>
    <n v="67.61987239051598"/>
    <n v="324.01486858227901"/>
    <n v="3.6185864928151421"/>
    <n v="1.3047031865608689"/>
    <n v="15"/>
    <x v="1"/>
  </r>
  <r>
    <d v="2023-05-12T13:00:00"/>
    <n v="26.283936205996181"/>
    <n v="68.664265779530382"/>
    <n v="172.55479441181649"/>
    <n v="1.9173250152615531"/>
    <n v="1.986748677929455"/>
    <n v="13"/>
    <x v="1"/>
  </r>
  <r>
    <d v="2023-06-02T16:00:00"/>
    <n v="22.391231753391239"/>
    <n v="63.770109442805023"/>
    <n v="537.2374603764938"/>
    <n v="1.6511158506923871"/>
    <n v="0.20875364107268171"/>
    <n v="16"/>
    <x v="1"/>
  </r>
  <r>
    <d v="2023-01-08T11:00:00"/>
    <n v="27.445755010829298"/>
    <n v="65.556930038582578"/>
    <n v="324.11521060884951"/>
    <n v="1.524565103201049"/>
    <n v="0.40731027427076649"/>
    <n v="11"/>
    <x v="2"/>
  </r>
  <r>
    <d v="2023-05-30T09:00:00"/>
    <n v="20.679916835179391"/>
    <n v="66.202350011812598"/>
    <n v="716.95612529564391"/>
    <n v="3.9553783035272319"/>
    <n v="0.70739153724543358"/>
    <n v="9"/>
    <x v="2"/>
  </r>
  <r>
    <d v="2023-02-06T00:00:00"/>
    <n v="25.75124178642594"/>
    <n v="33.06223239229503"/>
    <n v="316.07482169195919"/>
    <n v="3.847646243812179"/>
    <n v="0.11183168949716191"/>
    <n v="0"/>
    <x v="0"/>
  </r>
  <r>
    <d v="2023-11-20T08:00:00"/>
    <n v="21.7801495837254"/>
    <n v="64.289712842788447"/>
    <n v="583.29208945223502"/>
    <n v="4.7098980440630207"/>
    <n v="1.086985805722529"/>
    <n v="8"/>
    <x v="2"/>
  </r>
  <r>
    <d v="2023-05-01T05:00:00"/>
    <n v="21.883435593947141"/>
    <n v="46.629285089510027"/>
    <n v="672.91268456873388"/>
    <n v="2.0468504080202119"/>
    <n v="1.317205894189589"/>
    <n v="5"/>
    <x v="0"/>
  </r>
  <r>
    <d v="2023-08-13T04:00:00"/>
    <n v="29.79831543962089"/>
    <n v="31.70662617489662"/>
    <n v="910.60996707033485"/>
    <n v="3.3578183342628649"/>
    <n v="0.89559913524758572"/>
    <n v="4"/>
    <x v="0"/>
  </r>
  <r>
    <d v="2023-06-03T10:00:00"/>
    <n v="23.845206691134099"/>
    <n v="51.326844005024199"/>
    <n v="914.84641818400587"/>
    <n v="4.6784651845247254"/>
    <n v="0.89294654975315935"/>
    <n v="10"/>
    <x v="2"/>
  </r>
  <r>
    <d v="2023-10-26T04:00:00"/>
    <n v="25.19611436480583"/>
    <n v="34.66816182206982"/>
    <n v="701.6486288983707"/>
    <n v="1.8940220618268939"/>
    <n v="1.7668297456883999"/>
    <n v="4"/>
    <x v="0"/>
  </r>
  <r>
    <d v="2023-09-17T15:00:00"/>
    <n v="26.651137863268509"/>
    <n v="33.164578827517637"/>
    <n v="292.08336726511442"/>
    <n v="2.8158757199758688"/>
    <n v="1.2626136390825411"/>
    <n v="15"/>
    <x v="1"/>
  </r>
  <r>
    <d v="2023-05-25T00:00:00"/>
    <n v="24.98290919863323"/>
    <n v="48.703152744500088"/>
    <n v="154.20246505380479"/>
    <n v="4.8632704126544617"/>
    <n v="0.60065439615154936"/>
    <n v="0"/>
    <x v="0"/>
  </r>
  <r>
    <d v="2023-09-03T14:00:00"/>
    <n v="27.25876439071698"/>
    <n v="42.590759430209538"/>
    <n v="776.99570470943581"/>
    <n v="4.819529562069139"/>
    <n v="0.7073272355467678"/>
    <n v="14"/>
    <x v="1"/>
  </r>
  <r>
    <d v="2023-11-18T03:00:00"/>
    <n v="20.260302246749319"/>
    <n v="65.252707223754101"/>
    <n v="423.98179322237291"/>
    <n v="3.0463445982218871"/>
    <n v="0.48156680033548083"/>
    <n v="3"/>
    <x v="0"/>
  </r>
  <r>
    <d v="2023-07-01T16:00:00"/>
    <n v="26.767015465698059"/>
    <n v="42.623633738267131"/>
    <n v="208.6096918499936"/>
    <n v="2.7946754809923"/>
    <n v="0.6028217092832272"/>
    <n v="16"/>
    <x v="1"/>
  </r>
  <r>
    <d v="2023-09-21T22:00:00"/>
    <n v="23.24393497519257"/>
    <n v="62.903052046853638"/>
    <n v="851.70871494041376"/>
    <n v="4.7793074452006721"/>
    <n v="1.373308200459485"/>
    <n v="22"/>
    <x v="0"/>
  </r>
  <r>
    <d v="2023-07-12T20:00:00"/>
    <n v="28.793640969626711"/>
    <n v="30.195648591331"/>
    <n v="583.35852974656154"/>
    <n v="3.397826530656487"/>
    <n v="1.3117514557879759"/>
    <n v="20"/>
    <x v="0"/>
  </r>
  <r>
    <d v="2023-02-13T07:00:00"/>
    <n v="21.4340792022874"/>
    <n v="67.968341391013084"/>
    <n v="954.11107386374761"/>
    <n v="1.9877653227962959"/>
    <n v="0.59712869158142856"/>
    <n v="7"/>
    <x v="2"/>
  </r>
  <r>
    <d v="2023-09-08T13:00:00"/>
    <n v="20.306434640034642"/>
    <n v="32.173160984768479"/>
    <n v="620.98693533880873"/>
    <n v="3.0693067816308099"/>
    <n v="1.125490544340445"/>
    <n v="13"/>
    <x v="1"/>
  </r>
  <r>
    <d v="2023-11-24T11:00:00"/>
    <n v="20.60951094485149"/>
    <n v="40.515334184121947"/>
    <n v="956.15225014631153"/>
    <n v="3.2902121024302549"/>
    <n v="1.7351998949427021"/>
    <n v="11"/>
    <x v="2"/>
  </r>
  <r>
    <d v="2023-08-23T18:00:00"/>
    <n v="25.22185164099281"/>
    <n v="30.99546277416254"/>
    <n v="593.67769657768645"/>
    <n v="3.2091673984474021"/>
    <n v="0.60992091868844789"/>
    <n v="18"/>
    <x v="1"/>
  </r>
  <r>
    <d v="2023-06-26T14:00:00"/>
    <n v="22.15248671241018"/>
    <n v="68.374197524295127"/>
    <n v="254.78920667705401"/>
    <n v="2.622716968303775"/>
    <n v="0.1473027819835889"/>
    <n v="14"/>
    <x v="1"/>
  </r>
  <r>
    <d v="2023-10-05T05:00:00"/>
    <n v="27.531776942595261"/>
    <n v="32.067404732538662"/>
    <n v="967.57294876834931"/>
    <n v="1.585681927286696"/>
    <n v="0.62456391737407269"/>
    <n v="5"/>
    <x v="0"/>
  </r>
  <r>
    <d v="2023-09-09T11:00:00"/>
    <n v="20.555260002481859"/>
    <n v="43.960121663474879"/>
    <n v="180.82039309693059"/>
    <n v="4.472224904208578"/>
    <n v="1.8873738014832631"/>
    <n v="11"/>
    <x v="2"/>
  </r>
  <r>
    <d v="2023-05-21T05:00:00"/>
    <n v="22.3482889816922"/>
    <n v="56.553611936571549"/>
    <n v="264.38875604454461"/>
    <n v="1.4493122088267281"/>
    <n v="0.13897365627256431"/>
    <n v="5"/>
    <x v="0"/>
  </r>
  <r>
    <d v="2023-11-01T11:00:00"/>
    <n v="28.302416213705019"/>
    <n v="42.880631864436431"/>
    <n v="996.31259608893333"/>
    <n v="1.5578726310986251"/>
    <n v="0.33095005100042318"/>
    <n v="11"/>
    <x v="2"/>
  </r>
  <r>
    <d v="2023-06-12T20:00:00"/>
    <n v="20.4564115892749"/>
    <n v="30.29946962302493"/>
    <n v="800.73714087896451"/>
    <n v="1.596992672738516"/>
    <n v="0.43007607300412909"/>
    <n v="20"/>
    <x v="0"/>
  </r>
  <r>
    <d v="2023-07-19T16:00:00"/>
    <n v="27.876128168390949"/>
    <n v="39.622901321946898"/>
    <n v="856.74413520215148"/>
    <n v="1.157642021822622"/>
    <n v="1.441986317601698"/>
    <n v="16"/>
    <x v="1"/>
  </r>
  <r>
    <d v="2023-08-13T06:00:00"/>
    <n v="21.117650592486441"/>
    <n v="58.587705866744727"/>
    <n v="524.33729281811793"/>
    <n v="4.4309273986683309"/>
    <n v="1.9595043279632509"/>
    <n v="6"/>
    <x v="2"/>
  </r>
  <r>
    <d v="2023-08-17T13:00:00"/>
    <n v="28.427590095284739"/>
    <n v="45.131137112848457"/>
    <n v="440.81168553242259"/>
    <n v="4.5668335639821223"/>
    <n v="1.217787367617885"/>
    <n v="13"/>
    <x v="1"/>
  </r>
  <r>
    <d v="2023-03-17T17:00:00"/>
    <n v="27.840421779944169"/>
    <n v="62.811413525312247"/>
    <n v="344.36548443311978"/>
    <n v="1.490254448986263"/>
    <n v="0.26814610345428919"/>
    <n v="17"/>
    <x v="1"/>
  </r>
  <r>
    <d v="2023-01-20T00:00:00"/>
    <n v="22.18755811578713"/>
    <n v="59.559198854559"/>
    <n v="148.45061252345641"/>
    <n v="2.8462750088236581"/>
    <n v="0.9701936457485878"/>
    <n v="0"/>
    <x v="0"/>
  </r>
  <r>
    <d v="2023-12-11T06:00:00"/>
    <n v="24.01972455506003"/>
    <n v="53.439462955864798"/>
    <n v="142.5856380435423"/>
    <n v="2.5727385103354572"/>
    <n v="1.5878338919776289"/>
    <n v="6"/>
    <x v="2"/>
  </r>
  <r>
    <d v="2023-08-13T16:00:00"/>
    <n v="24.580045603881079"/>
    <n v="33.779013005974917"/>
    <n v="395.1892776406321"/>
    <n v="1.5046155432022461"/>
    <n v="0.44026865730079268"/>
    <n v="16"/>
    <x v="1"/>
  </r>
  <r>
    <d v="2023-08-30T12:00:00"/>
    <n v="23.937765190483081"/>
    <n v="69.279976371618275"/>
    <n v="301.48938136542739"/>
    <n v="4.4575706440424279"/>
    <n v="0.66209669582866604"/>
    <n v="12"/>
    <x v="2"/>
  </r>
  <r>
    <d v="2023-05-02T14:00:00"/>
    <n v="22.110316222337701"/>
    <n v="50.826914275907512"/>
    <n v="700.11010346814123"/>
    <n v="4.4562698733045707"/>
    <n v="1.3683915509823259"/>
    <n v="14"/>
    <x v="1"/>
  </r>
  <r>
    <d v="2023-08-09T11:00:00"/>
    <n v="22.261578701032409"/>
    <n v="40.407171395632197"/>
    <n v="252.6588120510458"/>
    <n v="3.963273454887537"/>
    <n v="0.70388589846194582"/>
    <n v="11"/>
    <x v="2"/>
  </r>
  <r>
    <d v="2023-06-10T20:00:00"/>
    <n v="26.906958658686111"/>
    <n v="54.085385541034597"/>
    <n v="918.14554684708719"/>
    <n v="1.666263210257751"/>
    <n v="1.4848300208134511"/>
    <n v="20"/>
    <x v="0"/>
  </r>
  <r>
    <d v="2023-10-26T20:00:00"/>
    <n v="21.515571252457569"/>
    <n v="58.27119278421938"/>
    <n v="970.95388915133344"/>
    <n v="2.0545185703163829"/>
    <n v="1.610780096055483"/>
    <n v="20"/>
    <x v="0"/>
  </r>
  <r>
    <d v="2023-02-07T22:00:00"/>
    <n v="22.819865914440239"/>
    <n v="48.700179933895392"/>
    <n v="527.40300224336863"/>
    <n v="1.769216896467225"/>
    <n v="1.6784857512325939"/>
    <n v="22"/>
    <x v="0"/>
  </r>
  <r>
    <d v="2023-08-20T00:00:00"/>
    <n v="20.630258246280938"/>
    <n v="55.673239316211983"/>
    <n v="146.00462311329559"/>
    <n v="4.3298742249536124"/>
    <n v="1.147407788709442"/>
    <n v="0"/>
    <x v="0"/>
  </r>
  <r>
    <d v="2023-06-27T08:00:00"/>
    <n v="22.181083358351021"/>
    <n v="34.321604726989797"/>
    <n v="253.5709882843895"/>
    <n v="2.8704743991293271"/>
    <n v="0.81971035075141363"/>
    <n v="8"/>
    <x v="2"/>
  </r>
  <r>
    <d v="2023-10-28T10:00:00"/>
    <n v="20.378085503217498"/>
    <n v="64.962622043269221"/>
    <n v="340.4575580383065"/>
    <n v="1.6017849343278769"/>
    <n v="1.2750798483977559"/>
    <n v="10"/>
    <x v="2"/>
  </r>
  <r>
    <d v="2023-12-07T12:00:00"/>
    <n v="26.983387337955911"/>
    <n v="57.229005255217707"/>
    <n v="888.38018931606837"/>
    <n v="1.0403806990602591"/>
    <n v="0.45391480954066538"/>
    <n v="12"/>
    <x v="2"/>
  </r>
  <r>
    <d v="2023-11-01T12:00:00"/>
    <n v="24.04429085352017"/>
    <n v="60.919478414917187"/>
    <n v="899.44206528221139"/>
    <n v="2.1140424484916851"/>
    <n v="0.48867385764204169"/>
    <n v="12"/>
    <x v="2"/>
  </r>
  <r>
    <d v="2023-10-03T04:00:00"/>
    <n v="23.77668287188575"/>
    <n v="34.54940241102868"/>
    <n v="969.66738378368495"/>
    <n v="4.8965222379532252"/>
    <n v="1.6555383150706311"/>
    <n v="4"/>
    <x v="0"/>
  </r>
  <r>
    <d v="2023-12-11T15:00:00"/>
    <n v="24.85638236082282"/>
    <n v="50.772107303882507"/>
    <n v="336.38108643284721"/>
    <n v="1.12676346198662"/>
    <n v="1.6528278056257719"/>
    <n v="15"/>
    <x v="1"/>
  </r>
  <r>
    <d v="2023-07-07T13:00:00"/>
    <n v="22.612946145776611"/>
    <n v="57.703791221638816"/>
    <n v="258.23943973121033"/>
    <n v="4.6458061079997686"/>
    <n v="0.873038987602483"/>
    <n v="13"/>
    <x v="1"/>
  </r>
  <r>
    <d v="2023-11-09T07:00:00"/>
    <n v="23.60333592301405"/>
    <n v="50.891313980480938"/>
    <n v="572.34503713395361"/>
    <n v="1.231761680250818"/>
    <n v="0.98807166530128965"/>
    <n v="7"/>
    <x v="2"/>
  </r>
  <r>
    <d v="2023-02-24T17:00:00"/>
    <n v="25.909656718148831"/>
    <n v="33.968359782394657"/>
    <n v="409.92269205788511"/>
    <n v="3.6870809922982568"/>
    <n v="0.91653091530060027"/>
    <n v="17"/>
    <x v="1"/>
  </r>
  <r>
    <d v="2023-10-10T02:00:00"/>
    <n v="22.245238664931019"/>
    <n v="32.426367654024688"/>
    <n v="458.31823129272237"/>
    <n v="2.3987877200087091"/>
    <n v="0.95952919791405511"/>
    <n v="2"/>
    <x v="0"/>
  </r>
  <r>
    <d v="2023-02-05T17:00:00"/>
    <n v="24.619679471787109"/>
    <n v="54.640649426244138"/>
    <n v="507.15185893070083"/>
    <n v="2.821993711201022"/>
    <n v="0.5328034245669242"/>
    <n v="17"/>
    <x v="1"/>
  </r>
  <r>
    <d v="2023-06-28T08:00:00"/>
    <n v="25.749226512792159"/>
    <n v="61.875650518397187"/>
    <n v="154.81076623413179"/>
    <n v="1.884555207108999"/>
    <n v="0.51474813484823256"/>
    <n v="8"/>
    <x v="2"/>
  </r>
  <r>
    <d v="2023-05-09T20:00:00"/>
    <n v="21.380939972036678"/>
    <n v="69.865161635873804"/>
    <n v="392.13969654867878"/>
    <n v="2.3541034386857871"/>
    <n v="1.6822803939058111"/>
    <n v="20"/>
    <x v="0"/>
  </r>
  <r>
    <d v="2023-08-10T21:00:00"/>
    <n v="23.06969937217163"/>
    <n v="52.728699102028443"/>
    <n v="768.89164655025218"/>
    <n v="2.2324245470048218"/>
    <n v="1.367455944709989"/>
    <n v="21"/>
    <x v="0"/>
  </r>
  <r>
    <d v="2023-10-26T07:00:00"/>
    <n v="25.52212276936104"/>
    <n v="39.179893886668538"/>
    <n v="530.7923115147272"/>
    <n v="3.8356010983006601"/>
    <n v="1.9539796403205061"/>
    <n v="7"/>
    <x v="2"/>
  </r>
  <r>
    <d v="2023-10-30T09:00:00"/>
    <n v="24.012598151262878"/>
    <n v="46.203062553476009"/>
    <n v="788.94172946676861"/>
    <n v="4.4850143259311297"/>
    <n v="0.40442724854258483"/>
    <n v="9"/>
    <x v="2"/>
  </r>
  <r>
    <d v="2023-06-14T04:00:00"/>
    <n v="27.159946042783709"/>
    <n v="34.265585991671138"/>
    <n v="705.10548639780802"/>
    <n v="2.6372663333149942"/>
    <n v="1.854546320458381"/>
    <n v="4"/>
    <x v="0"/>
  </r>
  <r>
    <d v="2023-01-12T19:00:00"/>
    <n v="22.313217877173081"/>
    <n v="46.554826759054038"/>
    <n v="947.04294508647638"/>
    <n v="4.2648844091433054"/>
    <n v="1.5545971731450361"/>
    <n v="19"/>
    <x v="0"/>
  </r>
  <r>
    <d v="2023-06-21T07:00:00"/>
    <n v="24.70723710907383"/>
    <n v="63.606691197876927"/>
    <n v="721.31529036732127"/>
    <n v="1.046196962556819"/>
    <n v="1.102392016588374"/>
    <n v="7"/>
    <x v="2"/>
  </r>
  <r>
    <d v="2023-09-25T03:00:00"/>
    <n v="28.210460704571972"/>
    <n v="45.607988475657017"/>
    <n v="603.59437327238811"/>
    <n v="4.1507906930095437"/>
    <n v="1.3411783574707969"/>
    <n v="3"/>
    <x v="0"/>
  </r>
  <r>
    <d v="2023-03-30T03:00:00"/>
    <n v="21.427693166936319"/>
    <n v="32.069343032375052"/>
    <n v="241.4543287879446"/>
    <n v="3.103815235839968"/>
    <n v="1.6914907824030669"/>
    <n v="3"/>
    <x v="0"/>
  </r>
  <r>
    <d v="2023-06-12T15:00:00"/>
    <n v="28.94927913638951"/>
    <n v="36.63645683184162"/>
    <n v="928.99513148900621"/>
    <n v="4.3349156195254404"/>
    <n v="1.1024925024728489"/>
    <n v="15"/>
    <x v="1"/>
  </r>
  <r>
    <d v="2023-04-05T08:00:00"/>
    <n v="24.472458850278901"/>
    <n v="56.787108113281739"/>
    <n v="997.04813146403126"/>
    <n v="1.896162512708562"/>
    <n v="1.3300265435702789"/>
    <n v="8"/>
    <x v="2"/>
  </r>
  <r>
    <d v="2023-05-13T08:00:00"/>
    <n v="24.798402942722682"/>
    <n v="57.649020587796848"/>
    <n v="858.22993981207253"/>
    <n v="2.506971581027889"/>
    <n v="1.9558631503308881"/>
    <n v="8"/>
    <x v="2"/>
  </r>
  <r>
    <d v="2023-05-01T18:00:00"/>
    <n v="26.359084062356111"/>
    <n v="37.921669983315581"/>
    <n v="184.13116300514741"/>
    <n v="3.7908343217517682"/>
    <n v="1.46856292059772"/>
    <n v="18"/>
    <x v="1"/>
  </r>
  <r>
    <d v="2023-01-11T22:00:00"/>
    <n v="25.418335713243689"/>
    <n v="62.405661687100277"/>
    <n v="200.2801660355963"/>
    <n v="4.3936815682613437"/>
    <n v="0.24910116305904831"/>
    <n v="22"/>
    <x v="0"/>
  </r>
  <r>
    <d v="2023-06-26T22:00:00"/>
    <n v="28.23250133146465"/>
    <n v="41.234225275492527"/>
    <n v="428.42390709610351"/>
    <n v="2.9132662965024521"/>
    <n v="1.461928504128182"/>
    <n v="22"/>
    <x v="0"/>
  </r>
  <r>
    <d v="2023-11-04T13:00:00"/>
    <n v="21.86640096273522"/>
    <n v="52.228609344433011"/>
    <n v="726.420982828614"/>
    <n v="4.3854401555342388"/>
    <n v="1.9503642639864951"/>
    <n v="13"/>
    <x v="1"/>
  </r>
  <r>
    <d v="2023-02-15T03:00:00"/>
    <n v="21.299046339830209"/>
    <n v="42.308225689230618"/>
    <n v="844.21402480432789"/>
    <n v="3.1932773514807331"/>
    <n v="0.84238592037035631"/>
    <n v="3"/>
    <x v="0"/>
  </r>
  <r>
    <d v="2023-02-28T17:00:00"/>
    <n v="22.634846692308638"/>
    <n v="57.724680765555071"/>
    <n v="262.73371255519021"/>
    <n v="4.9654841042406836"/>
    <n v="0.18251350585209461"/>
    <n v="17"/>
    <x v="1"/>
  </r>
  <r>
    <d v="2023-02-10T18:00:00"/>
    <n v="29.978133537694148"/>
    <n v="45.027004593926783"/>
    <n v="662.71633997789206"/>
    <n v="4.6188446946686206"/>
    <n v="1.4819186262787629"/>
    <n v="18"/>
    <x v="1"/>
  </r>
  <r>
    <d v="2023-07-13T19:00:00"/>
    <n v="20.988644162326018"/>
    <n v="60.472276912775563"/>
    <n v="243.6098343372301"/>
    <n v="2.5425116296687071"/>
    <n v="0.68737740710910478"/>
    <n v="19"/>
    <x v="0"/>
  </r>
  <r>
    <d v="2023-12-07T06:00:00"/>
    <n v="25.30451809335489"/>
    <n v="49.33704386612294"/>
    <n v="200.8936419521529"/>
    <n v="4.8219305292788359"/>
    <n v="1.844058575433619"/>
    <n v="6"/>
    <x v="2"/>
  </r>
  <r>
    <d v="2023-04-13T21:00:00"/>
    <n v="27.73380735276282"/>
    <n v="55.610809347357801"/>
    <n v="523.87505333336924"/>
    <n v="4.0613672583930054"/>
    <n v="0.44682370106451219"/>
    <n v="21"/>
    <x v="0"/>
  </r>
  <r>
    <d v="2023-09-14T06:00:00"/>
    <n v="28.325961533454588"/>
    <n v="67.042125510403849"/>
    <n v="874.93950041485596"/>
    <n v="3.1020108794556949"/>
    <n v="0.81567044519182519"/>
    <n v="6"/>
    <x v="2"/>
  </r>
  <r>
    <d v="2023-11-11T17:00:00"/>
    <n v="29.57424692995756"/>
    <n v="47.41379124003776"/>
    <n v="664.93509725563206"/>
    <n v="4.9641728103831522"/>
    <n v="0.1449863362690772"/>
    <n v="17"/>
    <x v="1"/>
  </r>
  <r>
    <d v="2023-05-23T10:00:00"/>
    <n v="29.951669004889169"/>
    <n v="52.025799005170697"/>
    <n v="713.38928537419963"/>
    <n v="3.7799333148812009"/>
    <n v="0.93353469325969396"/>
    <n v="10"/>
    <x v="2"/>
  </r>
  <r>
    <d v="2023-05-20T00:00:00"/>
    <n v="25.52256157687755"/>
    <n v="37.56471158195356"/>
    <n v="453.84953536865447"/>
    <n v="1.7784275699599681"/>
    <n v="0.46100707508818978"/>
    <n v="0"/>
    <x v="0"/>
  </r>
  <r>
    <d v="2023-02-13T12:00:00"/>
    <n v="22.40786840982134"/>
    <n v="57.737290526408692"/>
    <n v="340.19232946497971"/>
    <n v="1.4561470354642441"/>
    <n v="1.2344753996381459"/>
    <n v="12"/>
    <x v="2"/>
  </r>
  <r>
    <d v="2023-01-23T15:00:00"/>
    <n v="25.198964435330289"/>
    <n v="38.508297948896278"/>
    <n v="938.88683180258715"/>
    <n v="2.0484630569650419"/>
    <n v="1.5177543980334971"/>
    <n v="15"/>
    <x v="1"/>
  </r>
  <r>
    <d v="2023-03-11T18:00:00"/>
    <n v="27.360321826115531"/>
    <n v="57.598328299467987"/>
    <n v="470.26762465537581"/>
    <n v="3.94200893384639"/>
    <n v="0.63169577785507347"/>
    <n v="18"/>
    <x v="1"/>
  </r>
  <r>
    <d v="2023-09-04T20:00:00"/>
    <n v="24.76667702577419"/>
    <n v="66.92733721372835"/>
    <n v="562.0640525309534"/>
    <n v="3.201787279821501"/>
    <n v="0.35408928685702162"/>
    <n v="20"/>
    <x v="0"/>
  </r>
  <r>
    <d v="2023-05-15T23:00:00"/>
    <n v="22.72310197459899"/>
    <n v="67.652035570422839"/>
    <n v="164.99981190785141"/>
    <n v="2.588605334155262"/>
    <n v="0.32751278057438188"/>
    <n v="23"/>
    <x v="0"/>
  </r>
  <r>
    <d v="2023-06-02T20:00:00"/>
    <n v="28.220930249401871"/>
    <n v="62.073127417346171"/>
    <n v="162.23625106428071"/>
    <n v="4.0337180828523076"/>
    <n v="0.58399973477976563"/>
    <n v="20"/>
    <x v="0"/>
  </r>
  <r>
    <d v="2023-09-15T13:00:00"/>
    <n v="28.29114888382783"/>
    <n v="51.565783863714763"/>
    <n v="782.25758051949458"/>
    <n v="1.095149709881547"/>
    <n v="1.674000686530019"/>
    <n v="13"/>
    <x v="1"/>
  </r>
  <r>
    <d v="2023-02-19T07:00:00"/>
    <n v="25.50647891318464"/>
    <n v="63.488741153197743"/>
    <n v="938.80540147982902"/>
    <n v="4.2543003198049156"/>
    <n v="0.92283159848813334"/>
    <n v="7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C5F27C-FF1D-4870-91A4-438866CD0071}" name="数据透视表1" cacheId="3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K1:P5" firstHeaderRow="0" firstDataRow="1" firstDataCol="1"/>
  <pivotFields count="8">
    <pivotField numFmtId="176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axis="axisRow" showAll="0">
      <items count="4">
        <item x="2"/>
        <item x="0"/>
        <item x="1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平均值项:温度" fld="1" subtotal="average" baseField="7" baseItem="0"/>
    <dataField name="平均值项:湿度" fld="2" subtotal="average" baseField="7" baseItem="0"/>
    <dataField name="平均值项:能源消耗" fld="5" subtotal="average" baseField="7" baseItem="0"/>
    <dataField name="平均值项:响应时间" fld="4" subtotal="average" baseField="7" baseItem="0"/>
    <dataField name="平均值项:光照水平" fld="3" subtotal="average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1"/>
  <sheetViews>
    <sheetView tabSelected="1" workbookViewId="0">
      <selection activeCell="L26" sqref="L26"/>
    </sheetView>
  </sheetViews>
  <sheetFormatPr defaultRowHeight="13.5" x14ac:dyDescent="0.3"/>
  <cols>
    <col min="1" max="1" width="19.59765625" customWidth="1"/>
    <col min="2" max="2" width="11.73046875" customWidth="1"/>
    <col min="3" max="3" width="12.19921875" customWidth="1"/>
    <col min="4" max="4" width="11.9296875" customWidth="1"/>
    <col min="5" max="5" width="11.73046875" customWidth="1"/>
    <col min="6" max="6" width="12.06640625" customWidth="1"/>
    <col min="11" max="11" width="9.265625" bestFit="1" customWidth="1"/>
    <col min="12" max="13" width="14.3984375" bestFit="1" customWidth="1"/>
    <col min="14" max="16" width="18.5976562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5</v>
      </c>
      <c r="E1" s="1" t="s">
        <v>3</v>
      </c>
      <c r="F1" s="1" t="s">
        <v>4</v>
      </c>
      <c r="G1" s="3" t="s">
        <v>6</v>
      </c>
      <c r="H1" s="3" t="s">
        <v>7</v>
      </c>
      <c r="K1" s="4" t="s">
        <v>8</v>
      </c>
      <c r="L1" t="s">
        <v>13</v>
      </c>
      <c r="M1" t="s">
        <v>14</v>
      </c>
      <c r="N1" t="s">
        <v>16</v>
      </c>
      <c r="O1" t="s">
        <v>15</v>
      </c>
      <c r="P1" t="s">
        <v>17</v>
      </c>
    </row>
    <row r="2" spans="1:16" x14ac:dyDescent="0.3">
      <c r="A2" s="2">
        <v>45289.875</v>
      </c>
      <c r="B2">
        <v>23.747935310826421</v>
      </c>
      <c r="C2">
        <v>54.062400119025803</v>
      </c>
      <c r="D2">
        <v>511.98372987704732</v>
      </c>
      <c r="E2">
        <v>3.5467816270435368</v>
      </c>
      <c r="F2">
        <v>1.5217091644504279</v>
      </c>
      <c r="G2">
        <f>HOUR(A2)</f>
        <v>21</v>
      </c>
      <c r="H2" t="str" cm="1">
        <f t="array" ref="H2">_xlfn.IFS(AND(G2&gt;=6,G2&lt;=12),"上",AND(G2&gt;=13,G2&lt;=18),"下",AND(G2&gt;=19,G2&lt;=24),"晚",AND(G2&lt;=5),"晚")</f>
        <v>晚</v>
      </c>
      <c r="K2" s="5" t="s">
        <v>9</v>
      </c>
      <c r="L2" s="6">
        <v>24.718183415123629</v>
      </c>
      <c r="M2" s="6">
        <v>50.17551440816689</v>
      </c>
      <c r="N2" s="6">
        <v>1.0669194646921552</v>
      </c>
      <c r="O2" s="6">
        <v>3.0748447576594065</v>
      </c>
      <c r="P2" s="6">
        <v>540.9392680383562</v>
      </c>
    </row>
    <row r="3" spans="1:16" x14ac:dyDescent="0.3">
      <c r="A3" s="2">
        <v>45017.958333333343</v>
      </c>
      <c r="B3">
        <v>24.286859808129488</v>
      </c>
      <c r="C3">
        <v>50.541366689360153</v>
      </c>
      <c r="D3">
        <v>439.22593155920379</v>
      </c>
      <c r="E3">
        <v>4.6001822804552601</v>
      </c>
      <c r="F3">
        <v>0.44238514390095113</v>
      </c>
      <c r="G3">
        <f t="shared" ref="G3:G66" si="0">HOUR(A3)</f>
        <v>23</v>
      </c>
      <c r="H3" t="str" cm="1">
        <f t="array" ref="H3">_xlfn.IFS(AND(G3&gt;=6,G3&lt;=12),"上",AND(G3&gt;=13,G3&lt;=18),"下",AND(G3&gt;=19,G3&lt;=24),"晚",AND(G3&lt;=5),"晚")</f>
        <v>晚</v>
      </c>
      <c r="K3" s="5" t="s">
        <v>10</v>
      </c>
      <c r="L3" s="6">
        <v>25.023223926230312</v>
      </c>
      <c r="M3" s="6">
        <v>49.918439440179654</v>
      </c>
      <c r="N3" s="6">
        <v>0.98311802666263648</v>
      </c>
      <c r="O3" s="6">
        <v>3.022223763331072</v>
      </c>
      <c r="P3" s="6">
        <v>542.74887396032489</v>
      </c>
    </row>
    <row r="4" spans="1:16" x14ac:dyDescent="0.3">
      <c r="A4" s="2">
        <v>45289.791666666657</v>
      </c>
      <c r="B4">
        <v>26.830566188960169</v>
      </c>
      <c r="C4">
        <v>61.285493177540417</v>
      </c>
      <c r="D4">
        <v>732.10161651018075</v>
      </c>
      <c r="E4">
        <v>4.0958109629275858</v>
      </c>
      <c r="F4">
        <v>0.83914397461171719</v>
      </c>
      <c r="G4">
        <f t="shared" si="0"/>
        <v>19</v>
      </c>
      <c r="H4" t="str" cm="1">
        <f t="array" ref="H4">_xlfn.IFS(AND(G4&gt;=6,G4&lt;=12),"上",AND(G4&gt;=13,G4&lt;=18),"下",AND(G4&gt;=19,G4&lt;=24),"晚",AND(G4&lt;=5),"晚")</f>
        <v>晚</v>
      </c>
      <c r="K4" s="5" t="s">
        <v>11</v>
      </c>
      <c r="L4" s="6">
        <v>24.924919926542941</v>
      </c>
      <c r="M4" s="6">
        <v>49.084630890477847</v>
      </c>
      <c r="N4" s="6">
        <v>1.0417605784074029</v>
      </c>
      <c r="O4" s="6">
        <v>2.947486444678951</v>
      </c>
      <c r="P4" s="6">
        <v>557.79767339061402</v>
      </c>
    </row>
    <row r="5" spans="1:16" x14ac:dyDescent="0.3">
      <c r="A5" s="2">
        <v>45145.541666666657</v>
      </c>
      <c r="B5">
        <v>26.009477895248128</v>
      </c>
      <c r="C5">
        <v>65.483127903421618</v>
      </c>
      <c r="D5">
        <v>286.59169452695642</v>
      </c>
      <c r="E5">
        <v>1.5154614190023641</v>
      </c>
      <c r="F5">
        <v>0.17144034497314389</v>
      </c>
      <c r="G5">
        <f t="shared" si="0"/>
        <v>13</v>
      </c>
      <c r="H5" t="str" cm="1">
        <f t="array" ref="H5">_xlfn.IFS(AND(G5&gt;=6,G5&lt;=12),"上",AND(G5&gt;=13,G5&lt;=18),"下",AND(G5&gt;=19,G5&lt;=24),"晚",AND(G5&lt;=5),"晚")</f>
        <v>下</v>
      </c>
      <c r="K5" s="5" t="s">
        <v>12</v>
      </c>
      <c r="L5" s="6">
        <v>24.913196069150434</v>
      </c>
      <c r="M5" s="6">
        <v>49.793002296258926</v>
      </c>
      <c r="N5" s="6">
        <v>1.0208745623782747</v>
      </c>
      <c r="O5" s="6">
        <v>3.019380643881119</v>
      </c>
      <c r="P5" s="6">
        <v>545.81656014289547</v>
      </c>
    </row>
    <row r="6" spans="1:16" x14ac:dyDescent="0.3">
      <c r="A6" s="2">
        <v>45289.708333333343</v>
      </c>
      <c r="B6">
        <v>20.704829794978121</v>
      </c>
      <c r="C6">
        <v>30.080476818863531</v>
      </c>
      <c r="D6">
        <v>166.85158552905219</v>
      </c>
      <c r="E6">
        <v>1.2666294644631211</v>
      </c>
      <c r="F6">
        <v>0.12239670444337621</v>
      </c>
      <c r="G6">
        <f t="shared" si="0"/>
        <v>17</v>
      </c>
      <c r="H6" t="str" cm="1">
        <f t="array" ref="H6">_xlfn.IFS(AND(G6&gt;=6,G6&lt;=12),"上",AND(G6&gt;=13,G6&lt;=18),"下",AND(G6&gt;=19,G6&lt;=24),"晚",AND(G6&lt;=5),"晚")</f>
        <v>下</v>
      </c>
    </row>
    <row r="7" spans="1:16" x14ac:dyDescent="0.3">
      <c r="A7" s="2">
        <v>45201.333333333343</v>
      </c>
      <c r="B7">
        <v>21.57477859077407</v>
      </c>
      <c r="C7">
        <v>68.945079851357804</v>
      </c>
      <c r="D7">
        <v>429.42396260714719</v>
      </c>
      <c r="E7">
        <v>4.7683571966376839</v>
      </c>
      <c r="F7">
        <v>1.9929089561062041</v>
      </c>
      <c r="G7">
        <f t="shared" si="0"/>
        <v>8</v>
      </c>
      <c r="H7" t="str" cm="1">
        <f t="array" ref="H7">_xlfn.IFS(AND(G7&gt;=6,G7&lt;=12),"上",AND(G7&gt;=13,G7&lt;=18),"下",AND(G7&gt;=19,G7&lt;=24),"晚",AND(G7&lt;=5),"晚")</f>
        <v>上</v>
      </c>
    </row>
    <row r="8" spans="1:16" x14ac:dyDescent="0.3">
      <c r="A8" s="2">
        <v>44988.666666666657</v>
      </c>
      <c r="B8">
        <v>20.705556869223461</v>
      </c>
      <c r="C8">
        <v>43.764829478916603</v>
      </c>
      <c r="D8">
        <v>406.57181024977081</v>
      </c>
      <c r="E8">
        <v>1.6464164056850279</v>
      </c>
      <c r="F8">
        <v>1.0275736503053301</v>
      </c>
      <c r="G8">
        <f t="shared" si="0"/>
        <v>16</v>
      </c>
      <c r="H8" t="str" cm="1">
        <f t="array" ref="H8">_xlfn.IFS(AND(G8&gt;=6,G8&lt;=12),"上",AND(G8&gt;=13,G8&lt;=18),"下",AND(G8&gt;=19,G8&lt;=24),"晚",AND(G8&lt;=5),"晚")</f>
        <v>下</v>
      </c>
    </row>
    <row r="9" spans="1:16" x14ac:dyDescent="0.3">
      <c r="A9" s="2">
        <v>45169.625</v>
      </c>
      <c r="B9">
        <v>20.345901257542671</v>
      </c>
      <c r="C9">
        <v>45.965093666887697</v>
      </c>
      <c r="D9">
        <v>208.47169277034789</v>
      </c>
      <c r="E9">
        <v>3.5166246608253768</v>
      </c>
      <c r="F9">
        <v>0.80684705154664793</v>
      </c>
      <c r="G9">
        <f t="shared" si="0"/>
        <v>15</v>
      </c>
      <c r="H9" t="str" cm="1">
        <f t="array" ref="H9">_xlfn.IFS(AND(G9&gt;=6,G9&lt;=12),"上",AND(G9&gt;=13,G9&lt;=18),"下",AND(G9&gt;=19,G9&lt;=24),"晚",AND(G9&lt;=5),"晚")</f>
        <v>下</v>
      </c>
    </row>
    <row r="10" spans="1:16" x14ac:dyDescent="0.3">
      <c r="A10" s="2">
        <v>45184.916666666657</v>
      </c>
      <c r="B10">
        <v>27.760049179450409</v>
      </c>
      <c r="C10">
        <v>44.707328017667287</v>
      </c>
      <c r="D10">
        <v>869.10606626174445</v>
      </c>
      <c r="E10">
        <v>1.9430626402036431</v>
      </c>
      <c r="F10">
        <v>0.47272697967155891</v>
      </c>
      <c r="G10">
        <f t="shared" si="0"/>
        <v>22</v>
      </c>
      <c r="H10" t="str" cm="1">
        <f t="array" ref="H10">_xlfn.IFS(AND(G10&gt;=6,G10&lt;=12),"上",AND(G10&gt;=13,G10&lt;=18),"下",AND(G10&gt;=19,G10&lt;=24),"晚",AND(G10&lt;=5),"晚")</f>
        <v>晚</v>
      </c>
    </row>
    <row r="11" spans="1:16" x14ac:dyDescent="0.3">
      <c r="A11" s="2">
        <v>45228.5</v>
      </c>
      <c r="B11">
        <v>28.509589076629862</v>
      </c>
      <c r="C11">
        <v>63.774535333155491</v>
      </c>
      <c r="D11">
        <v>701.33300929738732</v>
      </c>
      <c r="E11">
        <v>3.0621925215269781</v>
      </c>
      <c r="F11">
        <v>1.633665265668238</v>
      </c>
      <c r="G11">
        <f t="shared" si="0"/>
        <v>12</v>
      </c>
      <c r="H11" t="str" cm="1">
        <f t="array" ref="H11">_xlfn.IFS(AND(G11&gt;=6,G11&lt;=12),"上",AND(G11&gt;=13,G11&lt;=18),"下",AND(G11&gt;=19,G11&lt;=24),"晚",AND(G11&lt;=5),"晚")</f>
        <v>上</v>
      </c>
    </row>
    <row r="12" spans="1:16" x14ac:dyDescent="0.3">
      <c r="A12" s="2">
        <v>45224.25</v>
      </c>
      <c r="B12">
        <v>24.16177832226116</v>
      </c>
      <c r="C12">
        <v>59.471705557620133</v>
      </c>
      <c r="D12">
        <v>123.2120471406117</v>
      </c>
      <c r="E12">
        <v>2.950095596292047</v>
      </c>
      <c r="F12">
        <v>1.4409301671072809</v>
      </c>
      <c r="G12">
        <f t="shared" si="0"/>
        <v>6</v>
      </c>
      <c r="H12" t="str" cm="1">
        <f t="array" ref="H12">_xlfn.IFS(AND(G12&gt;=6,G12&lt;=12),"上",AND(G12&gt;=13,G12&lt;=18),"下",AND(G12&gt;=19,G12&lt;=24),"晚",AND(G12&lt;=5),"晚")</f>
        <v>上</v>
      </c>
    </row>
    <row r="13" spans="1:16" x14ac:dyDescent="0.3">
      <c r="A13" s="2">
        <v>45223.083333333343</v>
      </c>
      <c r="B13">
        <v>29.688407845223871</v>
      </c>
      <c r="C13">
        <v>37.15643570379121</v>
      </c>
      <c r="D13">
        <v>586.14360139700659</v>
      </c>
      <c r="E13">
        <v>3.874917185525617</v>
      </c>
      <c r="F13">
        <v>0.10295677606630101</v>
      </c>
      <c r="G13">
        <f t="shared" si="0"/>
        <v>2</v>
      </c>
      <c r="H13" t="str" cm="1">
        <f t="array" ref="H13">_xlfn.IFS(AND(G13&gt;=6,G13&lt;=12),"上",AND(G13&gt;=13,G13&lt;=18),"下",AND(G13&gt;=19,G13&lt;=24),"晚",AND(G13&lt;=5),"晚")</f>
        <v>晚</v>
      </c>
    </row>
    <row r="14" spans="1:16" x14ac:dyDescent="0.3">
      <c r="A14" s="2">
        <v>44982.875</v>
      </c>
      <c r="B14">
        <v>28.63597702236331</v>
      </c>
      <c r="C14">
        <v>46.32374223031762</v>
      </c>
      <c r="D14">
        <v>238.42286825515461</v>
      </c>
      <c r="E14">
        <v>4.2821491709242281</v>
      </c>
      <c r="F14">
        <v>1.5653306787764489</v>
      </c>
      <c r="G14">
        <f t="shared" si="0"/>
        <v>21</v>
      </c>
      <c r="H14" t="str" cm="1">
        <f t="array" ref="H14">_xlfn.IFS(AND(G14&gt;=6,G14&lt;=12),"上",AND(G14&gt;=13,G14&lt;=18),"下",AND(G14&gt;=19,G14&lt;=24),"晚",AND(G14&lt;=5),"晚")</f>
        <v>晚</v>
      </c>
    </row>
    <row r="15" spans="1:16" x14ac:dyDescent="0.3">
      <c r="A15" s="2">
        <v>45104.416666666657</v>
      </c>
      <c r="B15">
        <v>28.603850438750801</v>
      </c>
      <c r="C15">
        <v>30.109069262480741</v>
      </c>
      <c r="D15">
        <v>560.0981230719965</v>
      </c>
      <c r="E15">
        <v>4.9954193489499046</v>
      </c>
      <c r="F15">
        <v>0.3118172157863488</v>
      </c>
      <c r="G15">
        <f t="shared" si="0"/>
        <v>10</v>
      </c>
      <c r="H15" t="str" cm="1">
        <f t="array" ref="H15">_xlfn.IFS(AND(G15&gt;=6,G15&lt;=12),"上",AND(G15&gt;=13,G15&lt;=18),"下",AND(G15&gt;=19,G15&lt;=24),"晚",AND(G15&lt;=5),"晚")</f>
        <v>上</v>
      </c>
    </row>
    <row r="16" spans="1:16" x14ac:dyDescent="0.3">
      <c r="A16" s="2">
        <v>45213.75</v>
      </c>
      <c r="B16">
        <v>23.671843999329369</v>
      </c>
      <c r="C16">
        <v>62.124532849458582</v>
      </c>
      <c r="D16">
        <v>794.12730343565465</v>
      </c>
      <c r="E16">
        <v>1.834110728011882</v>
      </c>
      <c r="F16">
        <v>1.902402092349663</v>
      </c>
      <c r="G16">
        <f t="shared" si="0"/>
        <v>18</v>
      </c>
      <c r="H16" t="str" cm="1">
        <f t="array" ref="H16">_xlfn.IFS(AND(G16&gt;=6,G16&lt;=12),"上",AND(G16&gt;=13,G16&lt;=18),"下",AND(G16&gt;=19,G16&lt;=24),"晚",AND(G16&lt;=5),"晚")</f>
        <v>下</v>
      </c>
    </row>
    <row r="17" spans="1:8" x14ac:dyDescent="0.3">
      <c r="A17" s="2">
        <v>45187.083333333343</v>
      </c>
      <c r="B17">
        <v>29.543471631043499</v>
      </c>
      <c r="C17">
        <v>39.451219048777062</v>
      </c>
      <c r="D17">
        <v>471.7482544585547</v>
      </c>
      <c r="E17">
        <v>2.7466538914318961</v>
      </c>
      <c r="F17">
        <v>0.73219855951546076</v>
      </c>
      <c r="G17">
        <f t="shared" si="0"/>
        <v>2</v>
      </c>
      <c r="H17" t="str" cm="1">
        <f t="array" ref="H17">_xlfn.IFS(AND(G17&gt;=6,G17&lt;=12),"上",AND(G17&gt;=13,G17&lt;=18),"下",AND(G17&gt;=19,G17&lt;=24),"晚",AND(G17&lt;=5),"晚")</f>
        <v>晚</v>
      </c>
    </row>
    <row r="18" spans="1:8" x14ac:dyDescent="0.3">
      <c r="A18" s="2">
        <v>45002.291666666657</v>
      </c>
      <c r="B18">
        <v>27.489298456338641</v>
      </c>
      <c r="C18">
        <v>33.320667611736887</v>
      </c>
      <c r="D18">
        <v>637.17839981730958</v>
      </c>
      <c r="E18">
        <v>2.5040335890451169</v>
      </c>
      <c r="F18">
        <v>0.95709527312037102</v>
      </c>
      <c r="G18">
        <f t="shared" si="0"/>
        <v>7</v>
      </c>
      <c r="H18" t="str" cm="1">
        <f t="array" ref="H18">_xlfn.IFS(AND(G18&gt;=6,G18&lt;=12),"上",AND(G18&gt;=13,G18&lt;=18),"下",AND(G18&gt;=19,G18&lt;=24),"晚",AND(G18&lt;=5),"晚")</f>
        <v>上</v>
      </c>
    </row>
    <row r="19" spans="1:8" x14ac:dyDescent="0.3">
      <c r="A19" s="2">
        <v>45157.75</v>
      </c>
      <c r="B19">
        <v>23.536924291077241</v>
      </c>
      <c r="C19">
        <v>56.43075874738112</v>
      </c>
      <c r="D19">
        <v>591.79503615327735</v>
      </c>
      <c r="E19">
        <v>1.135177269340421</v>
      </c>
      <c r="F19">
        <v>0.1094637207801315</v>
      </c>
      <c r="G19">
        <f t="shared" si="0"/>
        <v>18</v>
      </c>
      <c r="H19" t="str" cm="1">
        <f t="array" ref="H19">_xlfn.IFS(AND(G19&gt;=6,G19&lt;=12),"上",AND(G19&gt;=13,G19&lt;=18),"下",AND(G19&gt;=19,G19&lt;=24),"晚",AND(G19&lt;=5),"晚")</f>
        <v>下</v>
      </c>
    </row>
    <row r="20" spans="1:8" x14ac:dyDescent="0.3">
      <c r="A20" s="2">
        <v>45126.958333333343</v>
      </c>
      <c r="B20">
        <v>28.888328939449611</v>
      </c>
      <c r="C20">
        <v>38.763824246862818</v>
      </c>
      <c r="D20">
        <v>619.84527378221708</v>
      </c>
      <c r="E20">
        <v>1.9473080946709429</v>
      </c>
      <c r="F20">
        <v>1.6663461080444959</v>
      </c>
      <c r="G20">
        <f t="shared" si="0"/>
        <v>23</v>
      </c>
      <c r="H20" t="str" cm="1">
        <f t="array" ref="H20">_xlfn.IFS(AND(G20&gt;=6,G20&lt;=12),"上",AND(G20&gt;=13,G20&lt;=18),"下",AND(G20&gt;=19,G20&lt;=24),"晚",AND(G20&lt;=5),"晚")</f>
        <v>晚</v>
      </c>
    </row>
    <row r="21" spans="1:8" x14ac:dyDescent="0.3">
      <c r="A21" s="2">
        <v>45066.041666666657</v>
      </c>
      <c r="B21">
        <v>20.041122999651289</v>
      </c>
      <c r="C21">
        <v>51.960307347192682</v>
      </c>
      <c r="D21">
        <v>530.30542105959194</v>
      </c>
      <c r="E21">
        <v>3.1857950849768559</v>
      </c>
      <c r="F21">
        <v>0.68551968303745059</v>
      </c>
      <c r="G21">
        <f t="shared" si="0"/>
        <v>1</v>
      </c>
      <c r="H21" t="str" cm="1">
        <f t="array" ref="H21">_xlfn.IFS(AND(G21&gt;=6,G21&lt;=12),"上",AND(G21&gt;=13,G21&lt;=18),"下",AND(G21&gt;=19,G21&lt;=24),"晚",AND(G21&lt;=5),"晚")</f>
        <v>晚</v>
      </c>
    </row>
    <row r="22" spans="1:8" x14ac:dyDescent="0.3">
      <c r="A22" s="2">
        <v>45247.458333333343</v>
      </c>
      <c r="B22">
        <v>25.715910412338829</v>
      </c>
      <c r="C22">
        <v>36.448196170808117</v>
      </c>
      <c r="D22">
        <v>250.32876837260079</v>
      </c>
      <c r="E22">
        <v>4.5077735916626764</v>
      </c>
      <c r="F22">
        <v>1.1572490647219491</v>
      </c>
      <c r="G22">
        <f t="shared" si="0"/>
        <v>11</v>
      </c>
      <c r="H22" t="str" cm="1">
        <f t="array" ref="H22">_xlfn.IFS(AND(G22&gt;=6,G22&lt;=12),"上",AND(G22&gt;=13,G22&lt;=18),"下",AND(G22&gt;=19,G22&lt;=24),"晚",AND(G22&lt;=5),"晚")</f>
        <v>上</v>
      </c>
    </row>
    <row r="23" spans="1:8" x14ac:dyDescent="0.3">
      <c r="A23" s="2">
        <v>44991.458333333343</v>
      </c>
      <c r="B23">
        <v>25.201727930021921</v>
      </c>
      <c r="C23">
        <v>61.604334110583849</v>
      </c>
      <c r="D23">
        <v>317.45284256166292</v>
      </c>
      <c r="E23">
        <v>2.2551908684011641</v>
      </c>
      <c r="F23">
        <v>1.860541514413381</v>
      </c>
      <c r="G23">
        <f t="shared" si="0"/>
        <v>11</v>
      </c>
      <c r="H23" t="str" cm="1">
        <f t="array" ref="H23">_xlfn.IFS(AND(G23&gt;=6,G23&lt;=12),"上",AND(G23&gt;=13,G23&lt;=18),"下",AND(G23&gt;=19,G23&lt;=24),"晚",AND(G23&lt;=5),"晚")</f>
        <v>上</v>
      </c>
    </row>
    <row r="24" spans="1:8" x14ac:dyDescent="0.3">
      <c r="A24" s="2">
        <v>45067.916666666657</v>
      </c>
      <c r="B24">
        <v>20.817899405302619</v>
      </c>
      <c r="C24">
        <v>69.278941008847511</v>
      </c>
      <c r="D24">
        <v>904.64441195525467</v>
      </c>
      <c r="E24">
        <v>3.8056911364794739</v>
      </c>
      <c r="F24">
        <v>0.39682252810957092</v>
      </c>
      <c r="G24">
        <f t="shared" si="0"/>
        <v>22</v>
      </c>
      <c r="H24" t="str" cm="1">
        <f t="array" ref="H24">_xlfn.IFS(AND(G24&gt;=6,G24&lt;=12),"上",AND(G24&gt;=13,G24&lt;=18),"下",AND(G24&gt;=19,G24&lt;=24),"晚",AND(G24&lt;=5),"晚")</f>
        <v>晚</v>
      </c>
    </row>
    <row r="25" spans="1:8" x14ac:dyDescent="0.3">
      <c r="A25" s="2">
        <v>45061.708333333343</v>
      </c>
      <c r="B25">
        <v>28.62356489502687</v>
      </c>
      <c r="C25">
        <v>34.299682327475821</v>
      </c>
      <c r="D25">
        <v>764.38583862372661</v>
      </c>
      <c r="E25">
        <v>4.7603910550092756</v>
      </c>
      <c r="F25">
        <v>1.747926264568751</v>
      </c>
      <c r="G25">
        <f t="shared" si="0"/>
        <v>17</v>
      </c>
      <c r="H25" t="str" cm="1">
        <f t="array" ref="H25">_xlfn.IFS(AND(G25&gt;=6,G25&lt;=12),"上",AND(G25&gt;=13,G25&lt;=18),"下",AND(G25&gt;=19,G25&lt;=24),"晚",AND(G25&lt;=5),"晚")</f>
        <v>下</v>
      </c>
    </row>
    <row r="26" spans="1:8" x14ac:dyDescent="0.3">
      <c r="A26" s="2">
        <v>44976.166666666657</v>
      </c>
      <c r="B26">
        <v>22.817111676124998</v>
      </c>
      <c r="C26">
        <v>63.65650443489389</v>
      </c>
      <c r="D26">
        <v>984.57925470088276</v>
      </c>
      <c r="E26">
        <v>1.717467565962675</v>
      </c>
      <c r="F26">
        <v>1.050453968600854</v>
      </c>
      <c r="G26">
        <f t="shared" si="0"/>
        <v>4</v>
      </c>
      <c r="H26" t="str" cm="1">
        <f t="array" ref="H26">_xlfn.IFS(AND(G26&gt;=6,G26&lt;=12),"上",AND(G26&gt;=13,G26&lt;=18),"下",AND(G26&gt;=19,G26&lt;=24),"晚",AND(G26&lt;=5),"晚")</f>
        <v>晚</v>
      </c>
    </row>
    <row r="27" spans="1:8" x14ac:dyDescent="0.3">
      <c r="A27" s="2">
        <v>44964</v>
      </c>
      <c r="B27">
        <v>23.76350079453049</v>
      </c>
      <c r="C27">
        <v>49.591582083108733</v>
      </c>
      <c r="D27">
        <v>148.71706861995071</v>
      </c>
      <c r="E27">
        <v>1.4342823376737059</v>
      </c>
      <c r="F27">
        <v>1.8564667307075791</v>
      </c>
      <c r="G27">
        <f t="shared" si="0"/>
        <v>0</v>
      </c>
      <c r="H27" t="str" cm="1">
        <f t="array" ref="H27">_xlfn.IFS(AND(G27&gt;=6,G27&lt;=12),"上",AND(G27&gt;=13,G27&lt;=18),"下",AND(G27&gt;=19,G27&lt;=24),"晚",AND(G27&lt;=5),"晚")</f>
        <v>晚</v>
      </c>
    </row>
    <row r="28" spans="1:8" x14ac:dyDescent="0.3">
      <c r="A28" s="2">
        <v>44981.333333333343</v>
      </c>
      <c r="B28">
        <v>24.751534144294091</v>
      </c>
      <c r="C28">
        <v>32.056434611905743</v>
      </c>
      <c r="D28">
        <v>384.91489406828208</v>
      </c>
      <c r="E28">
        <v>4.9461510986780883</v>
      </c>
      <c r="F28">
        <v>1.6624745953542091</v>
      </c>
      <c r="G28">
        <f t="shared" si="0"/>
        <v>8</v>
      </c>
      <c r="H28" t="str" cm="1">
        <f t="array" ref="H28">_xlfn.IFS(AND(G28&gt;=6,G28&lt;=12),"上",AND(G28&gt;=13,G28&lt;=18),"下",AND(G28&gt;=19,G28&lt;=24),"晚",AND(G28&lt;=5),"晚")</f>
        <v>上</v>
      </c>
    </row>
    <row r="29" spans="1:8" x14ac:dyDescent="0.3">
      <c r="A29" s="2">
        <v>45051.083333333343</v>
      </c>
      <c r="B29">
        <v>28.169348304723989</v>
      </c>
      <c r="C29">
        <v>50.852303801674417</v>
      </c>
      <c r="D29">
        <v>963.35892147747848</v>
      </c>
      <c r="E29">
        <v>1.200103564307911</v>
      </c>
      <c r="F29">
        <v>0.94166205825226879</v>
      </c>
      <c r="G29">
        <f t="shared" si="0"/>
        <v>2</v>
      </c>
      <c r="H29" t="str" cm="1">
        <f t="array" ref="H29">_xlfn.IFS(AND(G29&gt;=6,G29&lt;=12),"上",AND(G29&gt;=13,G29&lt;=18),"下",AND(G29&gt;=19,G29&lt;=24),"晚",AND(G29&lt;=5),"晚")</f>
        <v>晚</v>
      </c>
    </row>
    <row r="30" spans="1:8" x14ac:dyDescent="0.3">
      <c r="A30" s="2">
        <v>45248.875</v>
      </c>
      <c r="B30">
        <v>25.949380307729591</v>
      </c>
      <c r="C30">
        <v>49.276916768936893</v>
      </c>
      <c r="D30">
        <v>495.44092981600409</v>
      </c>
      <c r="E30">
        <v>2.1240282594827962</v>
      </c>
      <c r="F30">
        <v>0.26855236435801361</v>
      </c>
      <c r="G30">
        <f t="shared" si="0"/>
        <v>21</v>
      </c>
      <c r="H30" t="str" cm="1">
        <f t="array" ref="H30">_xlfn.IFS(AND(G30&gt;=6,G30&lt;=12),"上",AND(G30&gt;=13,G30&lt;=18),"下",AND(G30&gt;=19,G30&lt;=24),"晚",AND(G30&lt;=5),"晚")</f>
        <v>晚</v>
      </c>
    </row>
    <row r="31" spans="1:8" x14ac:dyDescent="0.3">
      <c r="A31" s="2">
        <v>45206.375</v>
      </c>
      <c r="B31">
        <v>25.639572035274568</v>
      </c>
      <c r="C31">
        <v>65.656520117244469</v>
      </c>
      <c r="D31">
        <v>643.90370169955577</v>
      </c>
      <c r="E31">
        <v>4.4773591251030478</v>
      </c>
      <c r="F31">
        <v>0.15737516427584869</v>
      </c>
      <c r="G31">
        <f t="shared" si="0"/>
        <v>9</v>
      </c>
      <c r="H31" t="str" cm="1">
        <f t="array" ref="H31">_xlfn.IFS(AND(G31&gt;=6,G31&lt;=12),"上",AND(G31&gt;=13,G31&lt;=18),"下",AND(G31&gt;=19,G31&lt;=24),"晚",AND(G31&lt;=5),"晚")</f>
        <v>上</v>
      </c>
    </row>
    <row r="32" spans="1:8" x14ac:dyDescent="0.3">
      <c r="A32" s="2">
        <v>45187.875</v>
      </c>
      <c r="B32">
        <v>23.623775759255889</v>
      </c>
      <c r="C32">
        <v>43.615671488151307</v>
      </c>
      <c r="D32">
        <v>612.76729533691446</v>
      </c>
      <c r="E32">
        <v>2.1016810174565261</v>
      </c>
      <c r="F32">
        <v>1.761038538684744</v>
      </c>
      <c r="G32">
        <f t="shared" si="0"/>
        <v>21</v>
      </c>
      <c r="H32" t="str" cm="1">
        <f t="array" ref="H32">_xlfn.IFS(AND(G32&gt;=6,G32&lt;=12),"上",AND(G32&gt;=13,G32&lt;=18),"下",AND(G32&gt;=19,G32&lt;=24),"晚",AND(G32&lt;=5),"晚")</f>
        <v>晚</v>
      </c>
    </row>
    <row r="33" spans="1:8" x14ac:dyDescent="0.3">
      <c r="A33" s="2">
        <v>44964.708333333343</v>
      </c>
      <c r="B33">
        <v>22.796846717917202</v>
      </c>
      <c r="C33">
        <v>60.299686663062893</v>
      </c>
      <c r="D33">
        <v>226.62046288193119</v>
      </c>
      <c r="E33">
        <v>1.7021233513551479</v>
      </c>
      <c r="F33">
        <v>1.0011413431709011</v>
      </c>
      <c r="G33">
        <f t="shared" si="0"/>
        <v>17</v>
      </c>
      <c r="H33" t="str" cm="1">
        <f t="array" ref="H33">_xlfn.IFS(AND(G33&gt;=6,G33&lt;=12),"上",AND(G33&gt;=13,G33&lt;=18),"下",AND(G33&gt;=19,G33&lt;=24),"晚",AND(G33&lt;=5),"晚")</f>
        <v>下</v>
      </c>
    </row>
    <row r="34" spans="1:8" x14ac:dyDescent="0.3">
      <c r="A34" s="2">
        <v>45201.208333333343</v>
      </c>
      <c r="B34">
        <v>24.781202319371779</v>
      </c>
      <c r="C34">
        <v>35.292240401787637</v>
      </c>
      <c r="D34">
        <v>757.99386867541978</v>
      </c>
      <c r="E34">
        <v>4.1273247307535268</v>
      </c>
      <c r="F34">
        <v>1.361020325062728</v>
      </c>
      <c r="G34">
        <f t="shared" si="0"/>
        <v>5</v>
      </c>
      <c r="H34" t="str" cm="1">
        <f t="array" ref="H34">_xlfn.IFS(AND(G34&gt;=6,G34&lt;=12),"上",AND(G34&gt;=13,G34&lt;=18),"下",AND(G34&gt;=19,G34&lt;=24),"晚",AND(G34&lt;=5),"晚")</f>
        <v>晚</v>
      </c>
    </row>
    <row r="35" spans="1:8" x14ac:dyDescent="0.3">
      <c r="A35" s="2">
        <v>45121.5</v>
      </c>
      <c r="B35">
        <v>22.557335320315861</v>
      </c>
      <c r="C35">
        <v>45.540130102315572</v>
      </c>
      <c r="D35">
        <v>152.48133862921699</v>
      </c>
      <c r="E35">
        <v>3.9028164185459868</v>
      </c>
      <c r="F35">
        <v>1.7751319869968201</v>
      </c>
      <c r="G35">
        <f t="shared" si="0"/>
        <v>12</v>
      </c>
      <c r="H35" t="str" cm="1">
        <f t="array" ref="H35">_xlfn.IFS(AND(G35&gt;=6,G35&lt;=12),"上",AND(G35&gt;=13,G35&lt;=18),"下",AND(G35&gt;=19,G35&lt;=24),"晚",AND(G35&lt;=5),"晚")</f>
        <v>上</v>
      </c>
    </row>
    <row r="36" spans="1:8" x14ac:dyDescent="0.3">
      <c r="A36" s="2">
        <v>45201.625</v>
      </c>
      <c r="B36">
        <v>23.39511438204282</v>
      </c>
      <c r="C36">
        <v>51.574353457101751</v>
      </c>
      <c r="D36">
        <v>584.16660234271626</v>
      </c>
      <c r="E36">
        <v>1.4310913141744279</v>
      </c>
      <c r="F36">
        <v>0.67885208382092443</v>
      </c>
      <c r="G36">
        <f t="shared" si="0"/>
        <v>15</v>
      </c>
      <c r="H36" t="str" cm="1">
        <f t="array" ref="H36">_xlfn.IFS(AND(G36&gt;=6,G36&lt;=12),"上",AND(G36&gt;=13,G36&lt;=18),"下",AND(G36&gt;=19,G36&lt;=24),"晚",AND(G36&lt;=5),"晚")</f>
        <v>下</v>
      </c>
    </row>
    <row r="37" spans="1:8" x14ac:dyDescent="0.3">
      <c r="A37" s="2">
        <v>44939.708333333343</v>
      </c>
      <c r="B37">
        <v>24.403763349468271</v>
      </c>
      <c r="C37">
        <v>37.260892211786853</v>
      </c>
      <c r="D37">
        <v>597.37400579631901</v>
      </c>
      <c r="E37">
        <v>3.0071683249324188</v>
      </c>
      <c r="F37">
        <v>1.80194973494356</v>
      </c>
      <c r="G37">
        <f t="shared" si="0"/>
        <v>17</v>
      </c>
      <c r="H37" t="str" cm="1">
        <f t="array" ref="H37">_xlfn.IFS(AND(G37&gt;=6,G37&lt;=12),"上",AND(G37&gt;=13,G37&lt;=18),"下",AND(G37&gt;=19,G37&lt;=24),"晚",AND(G37&lt;=5),"晚")</f>
        <v>下</v>
      </c>
    </row>
    <row r="38" spans="1:8" x14ac:dyDescent="0.3">
      <c r="A38" s="2">
        <v>44999.166666666657</v>
      </c>
      <c r="B38">
        <v>28.43500864393631</v>
      </c>
      <c r="C38">
        <v>37.910801191370368</v>
      </c>
      <c r="D38">
        <v>281.66360536221072</v>
      </c>
      <c r="E38">
        <v>4.5739070136910502</v>
      </c>
      <c r="F38">
        <v>0.15231163491260791</v>
      </c>
      <c r="G38">
        <f t="shared" si="0"/>
        <v>4</v>
      </c>
      <c r="H38" t="str" cm="1">
        <f t="array" ref="H38">_xlfn.IFS(AND(G38&gt;=6,G38&lt;=12),"上",AND(G38&gt;=13,G38&lt;=18),"下",AND(G38&gt;=19,G38&lt;=24),"晚",AND(G38&lt;=5),"晚")</f>
        <v>晚</v>
      </c>
    </row>
    <row r="39" spans="1:8" x14ac:dyDescent="0.3">
      <c r="A39" s="2">
        <v>45042.875</v>
      </c>
      <c r="B39">
        <v>29.305106167465389</v>
      </c>
      <c r="C39">
        <v>39.813635268623877</v>
      </c>
      <c r="D39">
        <v>775.38180298161626</v>
      </c>
      <c r="E39">
        <v>2.696264938746971</v>
      </c>
      <c r="F39">
        <v>0.63185878959485176</v>
      </c>
      <c r="G39">
        <f t="shared" si="0"/>
        <v>21</v>
      </c>
      <c r="H39" t="str" cm="1">
        <f t="array" ref="H39">_xlfn.IFS(AND(G39&gt;=6,G39&lt;=12),"上",AND(G39&gt;=13,G39&lt;=18),"下",AND(G39&gt;=19,G39&lt;=24),"晚",AND(G39&lt;=5),"晚")</f>
        <v>晚</v>
      </c>
    </row>
    <row r="40" spans="1:8" x14ac:dyDescent="0.3">
      <c r="A40" s="2">
        <v>45246.333333333343</v>
      </c>
      <c r="B40">
        <v>28.29741369555985</v>
      </c>
      <c r="C40">
        <v>59.711857864879178</v>
      </c>
      <c r="D40">
        <v>906.55913462522801</v>
      </c>
      <c r="E40">
        <v>1.8887012410831601</v>
      </c>
      <c r="F40">
        <v>1.642356150689285</v>
      </c>
      <c r="G40">
        <f t="shared" si="0"/>
        <v>8</v>
      </c>
      <c r="H40" t="str" cm="1">
        <f t="array" ref="H40">_xlfn.IFS(AND(G40&gt;=6,G40&lt;=12),"上",AND(G40&gt;=13,G40&lt;=18),"下",AND(G40&gt;=19,G40&lt;=24),"晚",AND(G40&lt;=5),"晚")</f>
        <v>上</v>
      </c>
    </row>
    <row r="41" spans="1:8" x14ac:dyDescent="0.3">
      <c r="A41" s="2">
        <v>45119.333333333343</v>
      </c>
      <c r="B41">
        <v>25.25699714893106</v>
      </c>
      <c r="C41">
        <v>67.739636236456434</v>
      </c>
      <c r="D41">
        <v>981.16119960176593</v>
      </c>
      <c r="E41">
        <v>3.7775459769829438</v>
      </c>
      <c r="F41">
        <v>1.721118604814929</v>
      </c>
      <c r="G41">
        <f t="shared" si="0"/>
        <v>8</v>
      </c>
      <c r="H41" t="str" cm="1">
        <f t="array" ref="H41">_xlfn.IFS(AND(G41&gt;=6,G41&lt;=12),"上",AND(G41&gt;=13,G41&lt;=18),"下",AND(G41&gt;=19,G41&lt;=24),"晚",AND(G41&lt;=5),"晚")</f>
        <v>上</v>
      </c>
    </row>
    <row r="42" spans="1:8" x14ac:dyDescent="0.3">
      <c r="A42" s="2">
        <v>45028.333333333343</v>
      </c>
      <c r="B42">
        <v>27.11557253294275</v>
      </c>
      <c r="C42">
        <v>35.08621179423195</v>
      </c>
      <c r="D42">
        <v>124.135242525668</v>
      </c>
      <c r="E42">
        <v>1.911767059139889</v>
      </c>
      <c r="F42">
        <v>1.8951872511794139</v>
      </c>
      <c r="G42">
        <f t="shared" si="0"/>
        <v>8</v>
      </c>
      <c r="H42" t="str" cm="1">
        <f t="array" ref="H42">_xlfn.IFS(AND(G42&gt;=6,G42&lt;=12),"上",AND(G42&gt;=13,G42&lt;=18),"下",AND(G42&gt;=19,G42&lt;=24),"晚",AND(G42&lt;=5),"晚")</f>
        <v>上</v>
      </c>
    </row>
    <row r="43" spans="1:8" x14ac:dyDescent="0.3">
      <c r="A43" s="2">
        <v>45027.083333333343</v>
      </c>
      <c r="B43">
        <v>23.35208609210687</v>
      </c>
      <c r="C43">
        <v>51.91759760711389</v>
      </c>
      <c r="D43">
        <v>378.75241613341689</v>
      </c>
      <c r="E43">
        <v>4.6318165010372967</v>
      </c>
      <c r="F43">
        <v>0.67572141768141658</v>
      </c>
      <c r="G43">
        <f t="shared" si="0"/>
        <v>2</v>
      </c>
      <c r="H43" t="str" cm="1">
        <f t="array" ref="H43">_xlfn.IFS(AND(G43&gt;=6,G43&lt;=12),"上",AND(G43&gt;=13,G43&lt;=18),"下",AND(G43&gt;=19,G43&lt;=24),"晚",AND(G43&lt;=5),"晚")</f>
        <v>晚</v>
      </c>
    </row>
    <row r="44" spans="1:8" x14ac:dyDescent="0.3">
      <c r="A44" s="2">
        <v>45202.25</v>
      </c>
      <c r="B44">
        <v>24.591969225542819</v>
      </c>
      <c r="C44">
        <v>35.884150995199853</v>
      </c>
      <c r="D44">
        <v>932.34143208386149</v>
      </c>
      <c r="E44">
        <v>2.6752827930471068</v>
      </c>
      <c r="F44">
        <v>1.582447612670659</v>
      </c>
      <c r="G44">
        <f t="shared" si="0"/>
        <v>6</v>
      </c>
      <c r="H44" t="str" cm="1">
        <f t="array" ref="H44">_xlfn.IFS(AND(G44&gt;=6,G44&lt;=12),"上",AND(G44&gt;=13,G44&lt;=18),"下",AND(G44&gt;=19,G44&lt;=24),"晚",AND(G44&lt;=5),"晚")</f>
        <v>上</v>
      </c>
    </row>
    <row r="45" spans="1:8" x14ac:dyDescent="0.3">
      <c r="A45" s="2">
        <v>45080.541666666657</v>
      </c>
      <c r="B45">
        <v>29.40489656347205</v>
      </c>
      <c r="C45">
        <v>32.170233452581122</v>
      </c>
      <c r="D45">
        <v>145.4548663271691</v>
      </c>
      <c r="E45">
        <v>2.951141527039391</v>
      </c>
      <c r="F45">
        <v>1.9717475750327871</v>
      </c>
      <c r="G45">
        <f t="shared" si="0"/>
        <v>13</v>
      </c>
      <c r="H45" t="str" cm="1">
        <f t="array" ref="H45">_xlfn.IFS(AND(G45&gt;=6,G45&lt;=12),"上",AND(G45&gt;=13,G45&lt;=18),"下",AND(G45&gt;=19,G45&lt;=24),"晚",AND(G45&lt;=5),"晚")</f>
        <v>下</v>
      </c>
    </row>
    <row r="46" spans="1:8" x14ac:dyDescent="0.3">
      <c r="A46" s="2">
        <v>45006</v>
      </c>
      <c r="B46">
        <v>23.549474799949159</v>
      </c>
      <c r="C46">
        <v>31.578282893821211</v>
      </c>
      <c r="D46">
        <v>344.82267422556572</v>
      </c>
      <c r="E46">
        <v>3.7780223567032012</v>
      </c>
      <c r="F46">
        <v>1.101311428712334</v>
      </c>
      <c r="G46">
        <f t="shared" si="0"/>
        <v>0</v>
      </c>
      <c r="H46" t="str" cm="1">
        <f t="array" ref="H46">_xlfn.IFS(AND(G46&gt;=6,G46&lt;=12),"上",AND(G46&gt;=13,G46&lt;=18),"下",AND(G46&gt;=19,G46&lt;=24),"晚",AND(G46&lt;=5),"晚")</f>
        <v>晚</v>
      </c>
    </row>
    <row r="47" spans="1:8" x14ac:dyDescent="0.3">
      <c r="A47" s="2">
        <v>45266.791666666657</v>
      </c>
      <c r="B47">
        <v>21.72985677257379</v>
      </c>
      <c r="C47">
        <v>47.156259325983072</v>
      </c>
      <c r="D47">
        <v>580.04969890042821</v>
      </c>
      <c r="E47">
        <v>2.4380628529659338</v>
      </c>
      <c r="F47">
        <v>0.57993295031224079</v>
      </c>
      <c r="G47">
        <f t="shared" si="0"/>
        <v>19</v>
      </c>
      <c r="H47" t="str" cm="1">
        <f t="array" ref="H47">_xlfn.IFS(AND(G47&gt;=6,G47&lt;=12),"上",AND(G47&gt;=13,G47&lt;=18),"下",AND(G47&gt;=19,G47&lt;=24),"晚",AND(G47&lt;=5),"晚")</f>
        <v>晚</v>
      </c>
    </row>
    <row r="48" spans="1:8" x14ac:dyDescent="0.3">
      <c r="A48" s="2">
        <v>45265.416666666657</v>
      </c>
      <c r="B48">
        <v>24.720940570179781</v>
      </c>
      <c r="C48">
        <v>47.012910371721183</v>
      </c>
      <c r="D48">
        <v>766.17742543711881</v>
      </c>
      <c r="E48">
        <v>4.7681632427247642</v>
      </c>
      <c r="F48">
        <v>0.17402839925464511</v>
      </c>
      <c r="G48">
        <f t="shared" si="0"/>
        <v>10</v>
      </c>
      <c r="H48" t="str" cm="1">
        <f t="array" ref="H48">_xlfn.IFS(AND(G48&gt;=6,G48&lt;=12),"上",AND(G48&gt;=13,G48&lt;=18),"下",AND(G48&gt;=19,G48&lt;=24),"晚",AND(G48&lt;=5),"晚")</f>
        <v>上</v>
      </c>
    </row>
    <row r="49" spans="1:8" x14ac:dyDescent="0.3">
      <c r="A49" s="2">
        <v>45083.916666666657</v>
      </c>
      <c r="B49">
        <v>26.525916187915879</v>
      </c>
      <c r="C49">
        <v>56.567697481948542</v>
      </c>
      <c r="D49">
        <v>305.25077850174182</v>
      </c>
      <c r="E49">
        <v>2.0916317906201618</v>
      </c>
      <c r="F49">
        <v>1.5433408192892371</v>
      </c>
      <c r="G49">
        <f t="shared" si="0"/>
        <v>22</v>
      </c>
      <c r="H49" t="str" cm="1">
        <f t="array" ref="H49">_xlfn.IFS(AND(G49&gt;=6,G49&lt;=12),"上",AND(G49&gt;=13,G49&lt;=18),"下",AND(G49&gt;=19,G49&lt;=24),"晚",AND(G49&lt;=5),"晚")</f>
        <v>晚</v>
      </c>
    </row>
    <row r="50" spans="1:8" x14ac:dyDescent="0.3">
      <c r="A50" s="2">
        <v>45025.25</v>
      </c>
      <c r="B50">
        <v>21.26514259808496</v>
      </c>
      <c r="C50">
        <v>45.59727039876158</v>
      </c>
      <c r="D50">
        <v>370.30976903227548</v>
      </c>
      <c r="E50">
        <v>4.8629693767312663</v>
      </c>
      <c r="F50">
        <v>0.36380623043308719</v>
      </c>
      <c r="G50">
        <f t="shared" si="0"/>
        <v>6</v>
      </c>
      <c r="H50" t="str" cm="1">
        <f t="array" ref="H50">_xlfn.IFS(AND(G50&gt;=6,G50&lt;=12),"上",AND(G50&gt;=13,G50&lt;=18),"下",AND(G50&gt;=19,G50&lt;=24),"晚",AND(G50&lt;=5),"晚")</f>
        <v>上</v>
      </c>
    </row>
    <row r="51" spans="1:8" x14ac:dyDescent="0.3">
      <c r="A51" s="2">
        <v>45212.208333333343</v>
      </c>
      <c r="B51">
        <v>21.221014186726109</v>
      </c>
      <c r="C51">
        <v>39.18865678491396</v>
      </c>
      <c r="D51">
        <v>275.08458630600518</v>
      </c>
      <c r="E51">
        <v>2.552819940947785</v>
      </c>
      <c r="F51">
        <v>0.83519095221882922</v>
      </c>
      <c r="G51">
        <f t="shared" si="0"/>
        <v>5</v>
      </c>
      <c r="H51" t="str" cm="1">
        <f t="array" ref="H51">_xlfn.IFS(AND(G51&gt;=6,G51&lt;=12),"上",AND(G51&gt;=13,G51&lt;=18),"下",AND(G51&gt;=19,G51&lt;=24),"晚",AND(G51&lt;=5),"晚")</f>
        <v>晚</v>
      </c>
    </row>
    <row r="52" spans="1:8" x14ac:dyDescent="0.3">
      <c r="A52" s="2">
        <v>45220.791666666657</v>
      </c>
      <c r="B52">
        <v>23.036948909393999</v>
      </c>
      <c r="C52">
        <v>33.852132220008912</v>
      </c>
      <c r="D52">
        <v>498.75584889582552</v>
      </c>
      <c r="E52">
        <v>4.1212185173182254</v>
      </c>
      <c r="F52">
        <v>0.68762797514118235</v>
      </c>
      <c r="G52">
        <f t="shared" si="0"/>
        <v>19</v>
      </c>
      <c r="H52" t="str" cm="1">
        <f t="array" ref="H52">_xlfn.IFS(AND(G52&gt;=6,G52&lt;=12),"上",AND(G52&gt;=13,G52&lt;=18),"下",AND(G52&gt;=19,G52&lt;=24),"晚",AND(G52&lt;=5),"晚")</f>
        <v>晚</v>
      </c>
    </row>
    <row r="53" spans="1:8" x14ac:dyDescent="0.3">
      <c r="A53" s="2">
        <v>45096.583333333343</v>
      </c>
      <c r="B53">
        <v>29.07649101398334</v>
      </c>
      <c r="C53">
        <v>52.846310393168046</v>
      </c>
      <c r="D53">
        <v>553.91144469972392</v>
      </c>
      <c r="E53">
        <v>4.239957592160712</v>
      </c>
      <c r="F53">
        <v>0.89201627861193844</v>
      </c>
      <c r="G53">
        <f t="shared" si="0"/>
        <v>14</v>
      </c>
      <c r="H53" t="str" cm="1">
        <f t="array" ref="H53">_xlfn.IFS(AND(G53&gt;=6,G53&lt;=12),"上",AND(G53&gt;=13,G53&lt;=18),"下",AND(G53&gt;=19,G53&lt;=24),"晚",AND(G53&lt;=5),"晚")</f>
        <v>下</v>
      </c>
    </row>
    <row r="54" spans="1:8" x14ac:dyDescent="0.3">
      <c r="A54" s="2">
        <v>44943</v>
      </c>
      <c r="B54">
        <v>26.74603850992963</v>
      </c>
      <c r="C54">
        <v>38.693541208114787</v>
      </c>
      <c r="D54">
        <v>909.30427363062654</v>
      </c>
      <c r="E54">
        <v>3.484126899293158</v>
      </c>
      <c r="F54">
        <v>1.8213980903718701</v>
      </c>
      <c r="G54">
        <f t="shared" si="0"/>
        <v>0</v>
      </c>
      <c r="H54" t="str" cm="1">
        <f t="array" ref="H54">_xlfn.IFS(AND(G54&gt;=6,G54&lt;=12),"上",AND(G54&gt;=13,G54&lt;=18),"下",AND(G54&gt;=19,G54&lt;=24),"晚",AND(G54&lt;=5),"晚")</f>
        <v>晚</v>
      </c>
    </row>
    <row r="55" spans="1:8" x14ac:dyDescent="0.3">
      <c r="A55" s="2">
        <v>45053.583333333343</v>
      </c>
      <c r="B55">
        <v>22.219341563801098</v>
      </c>
      <c r="C55">
        <v>45.086020647646173</v>
      </c>
      <c r="D55">
        <v>793.6789423940736</v>
      </c>
      <c r="E55">
        <v>4.2474850562626996</v>
      </c>
      <c r="F55">
        <v>0.90930074632153768</v>
      </c>
      <c r="G55">
        <f t="shared" si="0"/>
        <v>14</v>
      </c>
      <c r="H55" t="str" cm="1">
        <f t="array" ref="H55">_xlfn.IFS(AND(G55&gt;=6,G55&lt;=12),"上",AND(G55&gt;=13,G55&lt;=18),"下",AND(G55&gt;=19,G55&lt;=24),"晚",AND(G55&lt;=5),"晚")</f>
        <v>下</v>
      </c>
    </row>
    <row r="56" spans="1:8" x14ac:dyDescent="0.3">
      <c r="A56" s="2">
        <v>45253.333333333343</v>
      </c>
      <c r="B56">
        <v>26.034875606219192</v>
      </c>
      <c r="C56">
        <v>30.701213538513009</v>
      </c>
      <c r="D56">
        <v>743.81054554356547</v>
      </c>
      <c r="E56">
        <v>3.3629793190778461</v>
      </c>
      <c r="F56">
        <v>1.8342141939848839</v>
      </c>
      <c r="G56">
        <f t="shared" si="0"/>
        <v>8</v>
      </c>
      <c r="H56" t="str" cm="1">
        <f t="array" ref="H56">_xlfn.IFS(AND(G56&gt;=6,G56&lt;=12),"上",AND(G56&gt;=13,G56&lt;=18),"下",AND(G56&gt;=19,G56&lt;=24),"晚",AND(G56&lt;=5),"晚")</f>
        <v>上</v>
      </c>
    </row>
    <row r="57" spans="1:8" x14ac:dyDescent="0.3">
      <c r="A57" s="2">
        <v>45138.5</v>
      </c>
      <c r="B57">
        <v>26.602398338119119</v>
      </c>
      <c r="C57">
        <v>39.961682352103942</v>
      </c>
      <c r="D57">
        <v>615.40278234157017</v>
      </c>
      <c r="E57">
        <v>3.4093896265642969</v>
      </c>
      <c r="F57">
        <v>1.630261633431356</v>
      </c>
      <c r="G57">
        <f t="shared" si="0"/>
        <v>12</v>
      </c>
      <c r="H57" t="str" cm="1">
        <f t="array" ref="H57">_xlfn.IFS(AND(G57&gt;=6,G57&lt;=12),"上",AND(G57&gt;=13,G57&lt;=18),"下",AND(G57&gt;=19,G57&lt;=24),"晚",AND(G57&lt;=5),"晚")</f>
        <v>上</v>
      </c>
    </row>
    <row r="58" spans="1:8" x14ac:dyDescent="0.3">
      <c r="A58" s="2">
        <v>45111.625</v>
      </c>
      <c r="B58">
        <v>25.23054679907845</v>
      </c>
      <c r="C58">
        <v>56.040112411745767</v>
      </c>
      <c r="D58">
        <v>395.72218231170478</v>
      </c>
      <c r="E58">
        <v>1.562709118220865</v>
      </c>
      <c r="F58">
        <v>0.64791883093015812</v>
      </c>
      <c r="G58">
        <f t="shared" si="0"/>
        <v>15</v>
      </c>
      <c r="H58" t="str" cm="1">
        <f t="array" ref="H58">_xlfn.IFS(AND(G58&gt;=6,G58&lt;=12),"上",AND(G58&gt;=13,G58&lt;=18),"下",AND(G58&gt;=19,G58&lt;=24),"晚",AND(G58&lt;=5),"晚")</f>
        <v>下</v>
      </c>
    </row>
    <row r="59" spans="1:8" x14ac:dyDescent="0.3">
      <c r="A59" s="2">
        <v>45263.833333333343</v>
      </c>
      <c r="B59">
        <v>27.593824605373289</v>
      </c>
      <c r="C59">
        <v>34.925512570355579</v>
      </c>
      <c r="D59">
        <v>163.06924627748819</v>
      </c>
      <c r="E59">
        <v>4.5618562471390236</v>
      </c>
      <c r="F59">
        <v>0.70436913619753116</v>
      </c>
      <c r="G59">
        <f t="shared" si="0"/>
        <v>20</v>
      </c>
      <c r="H59" t="str" cm="1">
        <f t="array" ref="H59">_xlfn.IFS(AND(G59&gt;=6,G59&lt;=12),"上",AND(G59&gt;=13,G59&lt;=18),"下",AND(G59&gt;=19,G59&lt;=24),"晚",AND(G59&lt;=5),"晚")</f>
        <v>晚</v>
      </c>
    </row>
    <row r="60" spans="1:8" x14ac:dyDescent="0.3">
      <c r="A60" s="2">
        <v>45126.791666666657</v>
      </c>
      <c r="B60">
        <v>20.24738988659157</v>
      </c>
      <c r="C60">
        <v>56.454215367968672</v>
      </c>
      <c r="D60">
        <v>332.92684450646442</v>
      </c>
      <c r="E60">
        <v>1.6160155602076789</v>
      </c>
      <c r="F60">
        <v>0.80270402674270847</v>
      </c>
      <c r="G60">
        <f t="shared" si="0"/>
        <v>19</v>
      </c>
      <c r="H60" t="str" cm="1">
        <f t="array" ref="H60">_xlfn.IFS(AND(G60&gt;=6,G60&lt;=12),"上",AND(G60&gt;=13,G60&lt;=18),"下",AND(G60&gt;=19,G60&lt;=24),"晚",AND(G60&lt;=5),"晚")</f>
        <v>晚</v>
      </c>
    </row>
    <row r="61" spans="1:8" x14ac:dyDescent="0.3">
      <c r="A61" s="2">
        <v>44980.5</v>
      </c>
      <c r="B61">
        <v>21.91117227103954</v>
      </c>
      <c r="C61">
        <v>64.416833331703586</v>
      </c>
      <c r="D61">
        <v>275.21853312174181</v>
      </c>
      <c r="E61">
        <v>3.0214631390657289</v>
      </c>
      <c r="F61">
        <v>1.250729664078194</v>
      </c>
      <c r="G61">
        <f t="shared" si="0"/>
        <v>12</v>
      </c>
      <c r="H61" t="str" cm="1">
        <f t="array" ref="H61">_xlfn.IFS(AND(G61&gt;=6,G61&lt;=12),"上",AND(G61&gt;=13,G61&lt;=18),"下",AND(G61&gt;=19,G61&lt;=24),"晚",AND(G61&lt;=5),"晚")</f>
        <v>上</v>
      </c>
    </row>
    <row r="62" spans="1:8" x14ac:dyDescent="0.3">
      <c r="A62" s="2">
        <v>45202.875</v>
      </c>
      <c r="B62">
        <v>29.663717444251191</v>
      </c>
      <c r="C62">
        <v>64.774757077661576</v>
      </c>
      <c r="D62">
        <v>305.10755090170352</v>
      </c>
      <c r="E62">
        <v>2.2733657262606721</v>
      </c>
      <c r="F62">
        <v>1.3807187825684899</v>
      </c>
      <c r="G62">
        <f t="shared" si="0"/>
        <v>21</v>
      </c>
      <c r="H62" t="str" cm="1">
        <f t="array" ref="H62">_xlfn.IFS(AND(G62&gt;=6,G62&lt;=12),"上",AND(G62&gt;=13,G62&lt;=18),"下",AND(G62&gt;=19,G62&lt;=24),"晚",AND(G62&lt;=5),"晚")</f>
        <v>晚</v>
      </c>
    </row>
    <row r="63" spans="1:8" x14ac:dyDescent="0.3">
      <c r="A63" s="2">
        <v>45246.791666666657</v>
      </c>
      <c r="B63">
        <v>24.977400017568321</v>
      </c>
      <c r="C63">
        <v>36.295833964910152</v>
      </c>
      <c r="D63">
        <v>304.09739306171201</v>
      </c>
      <c r="E63">
        <v>2.1540922419606741</v>
      </c>
      <c r="F63">
        <v>1.9472366878417871</v>
      </c>
      <c r="G63">
        <f t="shared" si="0"/>
        <v>19</v>
      </c>
      <c r="H63" t="str" cm="1">
        <f t="array" ref="H63">_xlfn.IFS(AND(G63&gt;=6,G63&lt;=12),"上",AND(G63&gt;=13,G63&lt;=18),"下",AND(G63&gt;=19,G63&lt;=24),"晚",AND(G63&lt;=5),"晚")</f>
        <v>晚</v>
      </c>
    </row>
    <row r="64" spans="1:8" x14ac:dyDescent="0.3">
      <c r="A64" s="2">
        <v>45191.916666666657</v>
      </c>
      <c r="B64">
        <v>20.765147983935289</v>
      </c>
      <c r="C64">
        <v>48.693306096769142</v>
      </c>
      <c r="D64">
        <v>487.4920133913501</v>
      </c>
      <c r="E64">
        <v>1.6785303931298661</v>
      </c>
      <c r="F64">
        <v>1.8603805206444171</v>
      </c>
      <c r="G64">
        <f t="shared" si="0"/>
        <v>22</v>
      </c>
      <c r="H64" t="str" cm="1">
        <f t="array" ref="H64">_xlfn.IFS(AND(G64&gt;=6,G64&lt;=12),"上",AND(G64&gt;=13,G64&lt;=18),"下",AND(G64&gt;=19,G64&lt;=24),"晚",AND(G64&lt;=5),"晚")</f>
        <v>晚</v>
      </c>
    </row>
    <row r="65" spans="1:8" x14ac:dyDescent="0.3">
      <c r="A65" s="2">
        <v>45173</v>
      </c>
      <c r="B65">
        <v>23.081796902179949</v>
      </c>
      <c r="C65">
        <v>65.782546281045313</v>
      </c>
      <c r="D65">
        <v>442.64339170112657</v>
      </c>
      <c r="E65">
        <v>3.1911675469489351</v>
      </c>
      <c r="F65">
        <v>1.2625562707088289</v>
      </c>
      <c r="G65">
        <f t="shared" si="0"/>
        <v>0</v>
      </c>
      <c r="H65" t="str" cm="1">
        <f t="array" ref="H65">_xlfn.IFS(AND(G65&gt;=6,G65&lt;=12),"上",AND(G65&gt;=13,G65&lt;=18),"下",AND(G65&gt;=19,G65&lt;=24),"晚",AND(G65&lt;=5),"晚")</f>
        <v>晚</v>
      </c>
    </row>
    <row r="66" spans="1:8" x14ac:dyDescent="0.3">
      <c r="A66" s="2">
        <v>45100.916666666657</v>
      </c>
      <c r="B66">
        <v>20.017723861734069</v>
      </c>
      <c r="C66">
        <v>59.197048012461323</v>
      </c>
      <c r="D66">
        <v>403.34208638040991</v>
      </c>
      <c r="E66">
        <v>4.3781587640070967</v>
      </c>
      <c r="F66">
        <v>0.18785368104831079</v>
      </c>
      <c r="G66">
        <f t="shared" si="0"/>
        <v>22</v>
      </c>
      <c r="H66" t="str" cm="1">
        <f t="array" ref="H66">_xlfn.IFS(AND(G66&gt;=6,G66&lt;=12),"上",AND(G66&gt;=13,G66&lt;=18),"下",AND(G66&gt;=19,G66&lt;=24),"晚",AND(G66&lt;=5),"晚")</f>
        <v>晚</v>
      </c>
    </row>
    <row r="67" spans="1:8" x14ac:dyDescent="0.3">
      <c r="A67" s="2">
        <v>45117.833333333343</v>
      </c>
      <c r="B67">
        <v>25.79414241885614</v>
      </c>
      <c r="C67">
        <v>64.655455139213203</v>
      </c>
      <c r="D67">
        <v>893.11381433957081</v>
      </c>
      <c r="E67">
        <v>2.9876836463187688</v>
      </c>
      <c r="F67">
        <v>1.1360844787461319</v>
      </c>
      <c r="G67">
        <f t="shared" ref="G67:G130" si="1">HOUR(A67)</f>
        <v>20</v>
      </c>
      <c r="H67" t="str" cm="1">
        <f t="array" ref="H67">_xlfn.IFS(AND(G67&gt;=6,G67&lt;=12),"上",AND(G67&gt;=13,G67&lt;=18),"下",AND(G67&gt;=19,G67&lt;=24),"晚",AND(G67&lt;=5),"晚")</f>
        <v>晚</v>
      </c>
    </row>
    <row r="68" spans="1:8" x14ac:dyDescent="0.3">
      <c r="A68" s="2">
        <v>44950.625</v>
      </c>
      <c r="B68">
        <v>29.994782500995679</v>
      </c>
      <c r="C68">
        <v>45.475720493069787</v>
      </c>
      <c r="D68">
        <v>282.46367311764828</v>
      </c>
      <c r="E68">
        <v>2.4395935271683942</v>
      </c>
      <c r="F68">
        <v>0.86691642041827432</v>
      </c>
      <c r="G68">
        <f t="shared" si="1"/>
        <v>15</v>
      </c>
      <c r="H68" t="str" cm="1">
        <f t="array" ref="H68">_xlfn.IFS(AND(G68&gt;=6,G68&lt;=12),"上",AND(G68&gt;=13,G68&lt;=18),"下",AND(G68&gt;=19,G68&lt;=24),"晚",AND(G68&lt;=5),"晚")</f>
        <v>下</v>
      </c>
    </row>
    <row r="69" spans="1:8" x14ac:dyDescent="0.3">
      <c r="A69" s="2">
        <v>45118.208333333343</v>
      </c>
      <c r="B69">
        <v>25.900994975210711</v>
      </c>
      <c r="C69">
        <v>49.96050657375244</v>
      </c>
      <c r="D69">
        <v>247.28830497435939</v>
      </c>
      <c r="E69">
        <v>4.7084433488077266</v>
      </c>
      <c r="F69">
        <v>1.13507957832064</v>
      </c>
      <c r="G69">
        <f t="shared" si="1"/>
        <v>5</v>
      </c>
      <c r="H69" t="str" cm="1">
        <f t="array" ref="H69">_xlfn.IFS(AND(G69&gt;=6,G69&lt;=12),"上",AND(G69&gt;=13,G69&lt;=18),"下",AND(G69&gt;=19,G69&lt;=24),"晚",AND(G69&lt;=5),"晚")</f>
        <v>晚</v>
      </c>
    </row>
    <row r="70" spans="1:8" x14ac:dyDescent="0.3">
      <c r="A70" s="2">
        <v>45112.791666666657</v>
      </c>
      <c r="B70">
        <v>26.10072928814445</v>
      </c>
      <c r="C70">
        <v>65.804562115382708</v>
      </c>
      <c r="D70">
        <v>168.40260517294629</v>
      </c>
      <c r="E70">
        <v>1.5353980337027591</v>
      </c>
      <c r="F70">
        <v>0.17633510919384221</v>
      </c>
      <c r="G70">
        <f t="shared" si="1"/>
        <v>19</v>
      </c>
      <c r="H70" t="str" cm="1">
        <f t="array" ref="H70">_xlfn.IFS(AND(G70&gt;=6,G70&lt;=12),"上",AND(G70&gt;=13,G70&lt;=18),"下",AND(G70&gt;=19,G70&lt;=24),"晚",AND(G70&lt;=5),"晚")</f>
        <v>晚</v>
      </c>
    </row>
    <row r="71" spans="1:8" x14ac:dyDescent="0.3">
      <c r="A71" s="2">
        <v>45121.125</v>
      </c>
      <c r="B71">
        <v>23.277266127280789</v>
      </c>
      <c r="C71">
        <v>47.160548433821859</v>
      </c>
      <c r="D71">
        <v>932.37413992831739</v>
      </c>
      <c r="E71">
        <v>2.921276672940158</v>
      </c>
      <c r="F71">
        <v>1.991948194111637</v>
      </c>
      <c r="G71">
        <f t="shared" si="1"/>
        <v>3</v>
      </c>
      <c r="H71" t="str" cm="1">
        <f t="array" ref="H71">_xlfn.IFS(AND(G71&gt;=6,G71&lt;=12),"上",AND(G71&gt;=13,G71&lt;=18),"下",AND(G71&gt;=19,G71&lt;=24),"晚",AND(G71&lt;=5),"晚")</f>
        <v>晚</v>
      </c>
    </row>
    <row r="72" spans="1:8" x14ac:dyDescent="0.3">
      <c r="A72" s="2">
        <v>44935.166666666657</v>
      </c>
      <c r="B72">
        <v>22.370325456028102</v>
      </c>
      <c r="C72">
        <v>56.80670815612266</v>
      </c>
      <c r="D72">
        <v>274.91167408734009</v>
      </c>
      <c r="E72">
        <v>4.0456444926643567</v>
      </c>
      <c r="F72">
        <v>0.20822090379724159</v>
      </c>
      <c r="G72">
        <f t="shared" si="1"/>
        <v>4</v>
      </c>
      <c r="H72" t="str" cm="1">
        <f t="array" ref="H72">_xlfn.IFS(AND(G72&gt;=6,G72&lt;=12),"上",AND(G72&gt;=13,G72&lt;=18),"下",AND(G72&gt;=19,G72&lt;=24),"晚",AND(G72&lt;=5),"晚")</f>
        <v>晚</v>
      </c>
    </row>
    <row r="73" spans="1:8" x14ac:dyDescent="0.3">
      <c r="A73" s="2">
        <v>44974.291666666657</v>
      </c>
      <c r="B73">
        <v>25.081565720401191</v>
      </c>
      <c r="C73">
        <v>46.983630880337223</v>
      </c>
      <c r="D73">
        <v>615.04118654773674</v>
      </c>
      <c r="E73">
        <v>4.5916931754336527</v>
      </c>
      <c r="F73">
        <v>0.61809187523325682</v>
      </c>
      <c r="G73">
        <f t="shared" si="1"/>
        <v>7</v>
      </c>
      <c r="H73" t="str" cm="1">
        <f t="array" ref="H73">_xlfn.IFS(AND(G73&gt;=6,G73&lt;=12),"上",AND(G73&gt;=13,G73&lt;=18),"下",AND(G73&gt;=19,G73&lt;=24),"晚",AND(G73&lt;=5),"晚")</f>
        <v>上</v>
      </c>
    </row>
    <row r="74" spans="1:8" x14ac:dyDescent="0.3">
      <c r="A74" s="2">
        <v>45285.208333333343</v>
      </c>
      <c r="B74">
        <v>28.997861669773901</v>
      </c>
      <c r="C74">
        <v>58.320259212211063</v>
      </c>
      <c r="D74">
        <v>436.34603740304198</v>
      </c>
      <c r="E74">
        <v>4.7111215626397538</v>
      </c>
      <c r="F74">
        <v>0.23703565498219531</v>
      </c>
      <c r="G74">
        <f t="shared" si="1"/>
        <v>5</v>
      </c>
      <c r="H74" t="str" cm="1">
        <f t="array" ref="H74">_xlfn.IFS(AND(G74&gt;=6,G74&lt;=12),"上",AND(G74&gt;=13,G74&lt;=18),"下",AND(G74&gt;=19,G74&lt;=24),"晚",AND(G74&lt;=5),"晚")</f>
        <v>晚</v>
      </c>
    </row>
    <row r="75" spans="1:8" x14ac:dyDescent="0.3">
      <c r="A75" s="2">
        <v>45216.125</v>
      </c>
      <c r="B75">
        <v>20.097511041147008</v>
      </c>
      <c r="C75">
        <v>54.528992629614407</v>
      </c>
      <c r="D75">
        <v>599.76977566061362</v>
      </c>
      <c r="E75">
        <v>1.4480186635366341</v>
      </c>
      <c r="F75">
        <v>1.1404611014081141</v>
      </c>
      <c r="G75">
        <f t="shared" si="1"/>
        <v>3</v>
      </c>
      <c r="H75" t="str" cm="1">
        <f t="array" ref="H75">_xlfn.IFS(AND(G75&gt;=6,G75&lt;=12),"上",AND(G75&gt;=13,G75&lt;=18),"下",AND(G75&gt;=19,G75&lt;=24),"晚",AND(G75&lt;=5),"晚")</f>
        <v>晚</v>
      </c>
    </row>
    <row r="76" spans="1:8" x14ac:dyDescent="0.3">
      <c r="A76" s="2">
        <v>45261.083333333343</v>
      </c>
      <c r="B76">
        <v>25.696508422418471</v>
      </c>
      <c r="C76">
        <v>47.664139727497371</v>
      </c>
      <c r="D76">
        <v>678.3097048483412</v>
      </c>
      <c r="E76">
        <v>3.162179545971652</v>
      </c>
      <c r="F76">
        <v>0.76845476345289698</v>
      </c>
      <c r="G76">
        <f t="shared" si="1"/>
        <v>2</v>
      </c>
      <c r="H76" t="str" cm="1">
        <f t="array" ref="H76">_xlfn.IFS(AND(G76&gt;=6,G76&lt;=12),"上",AND(G76&gt;=13,G76&lt;=18),"下",AND(G76&gt;=19,G76&lt;=24),"晚",AND(G76&lt;=5),"晚")</f>
        <v>晚</v>
      </c>
    </row>
    <row r="77" spans="1:8" x14ac:dyDescent="0.3">
      <c r="A77" s="2">
        <v>45080.583333333343</v>
      </c>
      <c r="B77">
        <v>24.28511071270319</v>
      </c>
      <c r="C77">
        <v>51.960879921195883</v>
      </c>
      <c r="D77">
        <v>856.06932679916349</v>
      </c>
      <c r="E77">
        <v>1.846102183783245</v>
      </c>
      <c r="F77">
        <v>0.81306970142016077</v>
      </c>
      <c r="G77">
        <f t="shared" si="1"/>
        <v>14</v>
      </c>
      <c r="H77" t="str" cm="1">
        <f t="array" ref="H77">_xlfn.IFS(AND(G77&gt;=6,G77&lt;=12),"上",AND(G77&gt;=13,G77&lt;=18),"下",AND(G77&gt;=19,G77&lt;=24),"晚",AND(G77&lt;=5),"晚")</f>
        <v>下</v>
      </c>
    </row>
    <row r="78" spans="1:8" x14ac:dyDescent="0.3">
      <c r="A78" s="2">
        <v>44986.25</v>
      </c>
      <c r="B78">
        <v>26.211793059939911</v>
      </c>
      <c r="C78">
        <v>53.92595574950893</v>
      </c>
      <c r="D78">
        <v>556.53672966001591</v>
      </c>
      <c r="E78">
        <v>1.7086745615529091</v>
      </c>
      <c r="F78">
        <v>1.5994182896300839</v>
      </c>
      <c r="G78">
        <f t="shared" si="1"/>
        <v>6</v>
      </c>
      <c r="H78" t="str" cm="1">
        <f t="array" ref="H78">_xlfn.IFS(AND(G78&gt;=6,G78&lt;=12),"上",AND(G78&gt;=13,G78&lt;=18),"下",AND(G78&gt;=19,G78&lt;=24),"晚",AND(G78&lt;=5),"晚")</f>
        <v>上</v>
      </c>
    </row>
    <row r="79" spans="1:8" x14ac:dyDescent="0.3">
      <c r="A79" s="2">
        <v>44947.708333333343</v>
      </c>
      <c r="B79">
        <v>28.39958026208015</v>
      </c>
      <c r="C79">
        <v>65.162328104191673</v>
      </c>
      <c r="D79">
        <v>394.51664038544732</v>
      </c>
      <c r="E79">
        <v>4.4623910128055968</v>
      </c>
      <c r="F79">
        <v>1.817638219581706</v>
      </c>
      <c r="G79">
        <f t="shared" si="1"/>
        <v>17</v>
      </c>
      <c r="H79" t="str" cm="1">
        <f t="array" ref="H79">_xlfn.IFS(AND(G79&gt;=6,G79&lt;=12),"上",AND(G79&gt;=13,G79&lt;=18),"下",AND(G79&gt;=19,G79&lt;=24),"晚",AND(G79&lt;=5),"晚")</f>
        <v>下</v>
      </c>
    </row>
    <row r="80" spans="1:8" x14ac:dyDescent="0.3">
      <c r="A80" s="2">
        <v>45105.458333333343</v>
      </c>
      <c r="B80">
        <v>24.490439126266178</v>
      </c>
      <c r="C80">
        <v>57.074847549835752</v>
      </c>
      <c r="D80">
        <v>262.97193133616929</v>
      </c>
      <c r="E80">
        <v>2.4762944188683309</v>
      </c>
      <c r="F80">
        <v>0.41482426792014199</v>
      </c>
      <c r="G80">
        <f t="shared" si="1"/>
        <v>11</v>
      </c>
      <c r="H80" t="str" cm="1">
        <f t="array" ref="H80">_xlfn.IFS(AND(G80&gt;=6,G80&lt;=12),"上",AND(G80&gt;=13,G80&lt;=18),"下",AND(G80&gt;=19,G80&lt;=24),"晚",AND(G80&lt;=5),"晚")</f>
        <v>上</v>
      </c>
    </row>
    <row r="81" spans="1:8" x14ac:dyDescent="0.3">
      <c r="A81" s="2">
        <v>44953.5</v>
      </c>
      <c r="B81">
        <v>22.176827816207059</v>
      </c>
      <c r="C81">
        <v>58.550178927113492</v>
      </c>
      <c r="D81">
        <v>646.13531929493888</v>
      </c>
      <c r="E81">
        <v>1.424254448637875</v>
      </c>
      <c r="F81">
        <v>0.63005618611391823</v>
      </c>
      <c r="G81">
        <f t="shared" si="1"/>
        <v>12</v>
      </c>
      <c r="H81" t="str" cm="1">
        <f t="array" ref="H81">_xlfn.IFS(AND(G81&gt;=6,G81&lt;=12),"上",AND(G81&gt;=13,G81&lt;=18),"下",AND(G81&gt;=19,G81&lt;=24),"晚",AND(G81&lt;=5),"晚")</f>
        <v>上</v>
      </c>
    </row>
    <row r="82" spans="1:8" x14ac:dyDescent="0.3">
      <c r="A82" s="2">
        <v>45165.958333333343</v>
      </c>
      <c r="B82">
        <v>23.766069869311611</v>
      </c>
      <c r="C82">
        <v>68.797063676695757</v>
      </c>
      <c r="D82">
        <v>218.80394951313929</v>
      </c>
      <c r="E82">
        <v>1.8730165371875289</v>
      </c>
      <c r="F82">
        <v>0.99818437837351104</v>
      </c>
      <c r="G82">
        <f t="shared" si="1"/>
        <v>23</v>
      </c>
      <c r="H82" t="str" cm="1">
        <f t="array" ref="H82">_xlfn.IFS(AND(G82&gt;=6,G82&lt;=12),"上",AND(G82&gt;=13,G82&lt;=18),"下",AND(G82&gt;=19,G82&lt;=24),"晚",AND(G82&lt;=5),"晚")</f>
        <v>晚</v>
      </c>
    </row>
    <row r="83" spans="1:8" x14ac:dyDescent="0.3">
      <c r="A83" s="2">
        <v>45175.541666666657</v>
      </c>
      <c r="B83">
        <v>21.505513716508439</v>
      </c>
      <c r="C83">
        <v>32.706470278750061</v>
      </c>
      <c r="D83">
        <v>870.22643707596615</v>
      </c>
      <c r="E83">
        <v>2.5236382022295318</v>
      </c>
      <c r="F83">
        <v>0.3144751732697777</v>
      </c>
      <c r="G83">
        <f t="shared" si="1"/>
        <v>13</v>
      </c>
      <c r="H83" t="str" cm="1">
        <f t="array" ref="H83">_xlfn.IFS(AND(G83&gt;=6,G83&lt;=12),"上",AND(G83&gt;=13,G83&lt;=18),"下",AND(G83&gt;=19,G83&lt;=24),"晚",AND(G83&lt;=5),"晚")</f>
        <v>下</v>
      </c>
    </row>
    <row r="84" spans="1:8" x14ac:dyDescent="0.3">
      <c r="A84" s="2">
        <v>44972.791666666657</v>
      </c>
      <c r="B84">
        <v>20.84899214210839</v>
      </c>
      <c r="C84">
        <v>37.504542536717601</v>
      </c>
      <c r="D84">
        <v>125.01053918195009</v>
      </c>
      <c r="E84">
        <v>3.5986045464448191</v>
      </c>
      <c r="F84">
        <v>0.83442235589804503</v>
      </c>
      <c r="G84">
        <f t="shared" si="1"/>
        <v>19</v>
      </c>
      <c r="H84" t="str" cm="1">
        <f t="array" ref="H84">_xlfn.IFS(AND(G84&gt;=6,G84&lt;=12),"上",AND(G84&gt;=13,G84&lt;=18),"下",AND(G84&gt;=19,G84&lt;=24),"晚",AND(G84&lt;=5),"晚")</f>
        <v>晚</v>
      </c>
    </row>
    <row r="85" spans="1:8" x14ac:dyDescent="0.3">
      <c r="A85" s="2">
        <v>45042.125</v>
      </c>
      <c r="B85">
        <v>23.75876349403163</v>
      </c>
      <c r="C85">
        <v>42.724891723321051</v>
      </c>
      <c r="D85">
        <v>860.76985809571443</v>
      </c>
      <c r="E85">
        <v>3.4969071915616698</v>
      </c>
      <c r="F85">
        <v>0.67396728666828043</v>
      </c>
      <c r="G85">
        <f t="shared" si="1"/>
        <v>3</v>
      </c>
      <c r="H85" t="str" cm="1">
        <f t="array" ref="H85">_xlfn.IFS(AND(G85&gt;=6,G85&lt;=12),"上",AND(G85&gt;=13,G85&lt;=18),"下",AND(G85&gt;=19,G85&lt;=24),"晚",AND(G85&lt;=5),"晚")</f>
        <v>晚</v>
      </c>
    </row>
    <row r="86" spans="1:8" x14ac:dyDescent="0.3">
      <c r="A86" s="2">
        <v>45140.708333333343</v>
      </c>
      <c r="B86">
        <v>26.256985496114691</v>
      </c>
      <c r="C86">
        <v>67.842693746283487</v>
      </c>
      <c r="D86">
        <v>297.32195968044908</v>
      </c>
      <c r="E86">
        <v>4.6980031768767159</v>
      </c>
      <c r="F86">
        <v>1.8517550403635219</v>
      </c>
      <c r="G86">
        <f t="shared" si="1"/>
        <v>17</v>
      </c>
      <c r="H86" t="str" cm="1">
        <f t="array" ref="H86">_xlfn.IFS(AND(G86&gt;=6,G86&lt;=12),"上",AND(G86&gt;=13,G86&lt;=18),"下",AND(G86&gt;=19,G86&lt;=24),"晚",AND(G86&lt;=5),"晚")</f>
        <v>下</v>
      </c>
    </row>
    <row r="87" spans="1:8" x14ac:dyDescent="0.3">
      <c r="A87" s="2">
        <v>45278.791666666657</v>
      </c>
      <c r="B87">
        <v>22.628353360875501</v>
      </c>
      <c r="C87">
        <v>39.14220103041464</v>
      </c>
      <c r="D87">
        <v>539.07205963237084</v>
      </c>
      <c r="E87">
        <v>2.2611753878449572</v>
      </c>
      <c r="F87">
        <v>0.47721482882744581</v>
      </c>
      <c r="G87">
        <f t="shared" si="1"/>
        <v>19</v>
      </c>
      <c r="H87" t="str" cm="1">
        <f t="array" ref="H87">_xlfn.IFS(AND(G87&gt;=6,G87&lt;=12),"上",AND(G87&gt;=13,G87&lt;=18),"下",AND(G87&gt;=19,G87&lt;=24),"晚",AND(G87&lt;=5),"晚")</f>
        <v>晚</v>
      </c>
    </row>
    <row r="88" spans="1:8" x14ac:dyDescent="0.3">
      <c r="A88" s="2">
        <v>44985.583333333343</v>
      </c>
      <c r="B88">
        <v>29.15684159469194</v>
      </c>
      <c r="C88">
        <v>52.603782911135752</v>
      </c>
      <c r="D88">
        <v>757.46863258547046</v>
      </c>
      <c r="E88">
        <v>2.588441094100983</v>
      </c>
      <c r="F88">
        <v>1.4703016563394229</v>
      </c>
      <c r="G88">
        <f t="shared" si="1"/>
        <v>14</v>
      </c>
      <c r="H88" t="str" cm="1">
        <f t="array" ref="H88">_xlfn.IFS(AND(G88&gt;=6,G88&lt;=12),"上",AND(G88&gt;=13,G88&lt;=18),"下",AND(G88&gt;=19,G88&lt;=24),"晚",AND(G88&lt;=5),"晚")</f>
        <v>下</v>
      </c>
    </row>
    <row r="89" spans="1:8" x14ac:dyDescent="0.3">
      <c r="A89" s="2">
        <v>45219.875</v>
      </c>
      <c r="B89">
        <v>26.889512994530019</v>
      </c>
      <c r="C89">
        <v>34.710445218855888</v>
      </c>
      <c r="D89">
        <v>805.75015500576137</v>
      </c>
      <c r="E89">
        <v>2.1323026653808368</v>
      </c>
      <c r="F89">
        <v>0.51019709663156532</v>
      </c>
      <c r="G89">
        <f t="shared" si="1"/>
        <v>21</v>
      </c>
      <c r="H89" t="str" cm="1">
        <f t="array" ref="H89">_xlfn.IFS(AND(G89&gt;=6,G89&lt;=12),"上",AND(G89&gt;=13,G89&lt;=18),"下",AND(G89&gt;=19,G89&lt;=24),"晚",AND(G89&lt;=5),"晚")</f>
        <v>晚</v>
      </c>
    </row>
    <row r="90" spans="1:8" x14ac:dyDescent="0.3">
      <c r="A90" s="2">
        <v>45029</v>
      </c>
      <c r="B90">
        <v>26.863134531018989</v>
      </c>
      <c r="C90">
        <v>40.826688149820107</v>
      </c>
      <c r="D90">
        <v>461.60181036336428</v>
      </c>
      <c r="E90">
        <v>1.4663889483159149</v>
      </c>
      <c r="F90">
        <v>1.2887509196479121</v>
      </c>
      <c r="G90">
        <f t="shared" si="1"/>
        <v>0</v>
      </c>
      <c r="H90" t="str" cm="1">
        <f t="array" ref="H90">_xlfn.IFS(AND(G90&gt;=6,G90&lt;=12),"上",AND(G90&gt;=13,G90&lt;=18),"下",AND(G90&gt;=19,G90&lt;=24),"晚",AND(G90&lt;=5),"晚")</f>
        <v>晚</v>
      </c>
    </row>
    <row r="91" spans="1:8" x14ac:dyDescent="0.3">
      <c r="A91" s="2">
        <v>45119.916666666657</v>
      </c>
      <c r="B91">
        <v>26.917106852566381</v>
      </c>
      <c r="C91">
        <v>41.044388588514018</v>
      </c>
      <c r="D91">
        <v>549.50928297913106</v>
      </c>
      <c r="E91">
        <v>4.8438765699533972</v>
      </c>
      <c r="F91">
        <v>1.205782383466913</v>
      </c>
      <c r="G91">
        <f t="shared" si="1"/>
        <v>22</v>
      </c>
      <c r="H91" t="str" cm="1">
        <f t="array" ref="H91">_xlfn.IFS(AND(G91&gt;=6,G91&lt;=12),"上",AND(G91&gt;=13,G91&lt;=18),"下",AND(G91&gt;=19,G91&lt;=24),"晚",AND(G91&lt;=5),"晚")</f>
        <v>晚</v>
      </c>
    </row>
    <row r="92" spans="1:8" x14ac:dyDescent="0.3">
      <c r="A92" s="2">
        <v>45183.291666666657</v>
      </c>
      <c r="B92">
        <v>20.016844982284429</v>
      </c>
      <c r="C92">
        <v>58.33865051708095</v>
      </c>
      <c r="D92">
        <v>126.6153923154727</v>
      </c>
      <c r="E92">
        <v>1.3841811287840571</v>
      </c>
      <c r="F92">
        <v>0.97157615614806558</v>
      </c>
      <c r="G92">
        <f t="shared" si="1"/>
        <v>7</v>
      </c>
      <c r="H92" t="str" cm="1">
        <f t="array" ref="H92">_xlfn.IFS(AND(G92&gt;=6,G92&lt;=12),"上",AND(G92&gt;=13,G92&lt;=18),"下",AND(G92&gt;=19,G92&lt;=24),"晚",AND(G92&lt;=5),"晚")</f>
        <v>上</v>
      </c>
    </row>
    <row r="93" spans="1:8" x14ac:dyDescent="0.3">
      <c r="A93" s="2">
        <v>45080.708333333343</v>
      </c>
      <c r="B93">
        <v>28.130067534159011</v>
      </c>
      <c r="C93">
        <v>34.353163277468212</v>
      </c>
      <c r="D93">
        <v>409.62345329165299</v>
      </c>
      <c r="E93">
        <v>2.8910952291446752</v>
      </c>
      <c r="F93">
        <v>1.652123874145663</v>
      </c>
      <c r="G93">
        <f t="shared" si="1"/>
        <v>17</v>
      </c>
      <c r="H93" t="str" cm="1">
        <f t="array" ref="H93">_xlfn.IFS(AND(G93&gt;=6,G93&lt;=12),"上",AND(G93&gt;=13,G93&lt;=18),"下",AND(G93&gt;=19,G93&lt;=24),"晚",AND(G93&lt;=5),"晚")</f>
        <v>下</v>
      </c>
    </row>
    <row r="94" spans="1:8" x14ac:dyDescent="0.3">
      <c r="A94" s="2">
        <v>45256.5</v>
      </c>
      <c r="B94">
        <v>29.1760862794338</v>
      </c>
      <c r="C94">
        <v>60.279379762745393</v>
      </c>
      <c r="D94">
        <v>335.42096306865011</v>
      </c>
      <c r="E94">
        <v>3.2800404868980562</v>
      </c>
      <c r="F94">
        <v>0.52316266931856104</v>
      </c>
      <c r="G94">
        <f t="shared" si="1"/>
        <v>12</v>
      </c>
      <c r="H94" t="str" cm="1">
        <f t="array" ref="H94">_xlfn.IFS(AND(G94&gt;=6,G94&lt;=12),"上",AND(G94&gt;=13,G94&lt;=18),"下",AND(G94&gt;=19,G94&lt;=24),"晚",AND(G94&lt;=5),"晚")</f>
        <v>上</v>
      </c>
    </row>
    <row r="95" spans="1:8" x14ac:dyDescent="0.3">
      <c r="A95" s="2">
        <v>45234</v>
      </c>
      <c r="B95">
        <v>20.193979837360889</v>
      </c>
      <c r="C95">
        <v>42.141847433127367</v>
      </c>
      <c r="D95">
        <v>451.06216669929961</v>
      </c>
      <c r="E95">
        <v>3.8008290559824909</v>
      </c>
      <c r="F95">
        <v>1.006832425647322</v>
      </c>
      <c r="G95">
        <f t="shared" si="1"/>
        <v>0</v>
      </c>
      <c r="H95" t="str" cm="1">
        <f t="array" ref="H95">_xlfn.IFS(AND(G95&gt;=6,G95&lt;=12),"上",AND(G95&gt;=13,G95&lt;=18),"下",AND(G95&gt;=19,G95&lt;=24),"晚",AND(G95&lt;=5),"晚")</f>
        <v>晚</v>
      </c>
    </row>
    <row r="96" spans="1:8" x14ac:dyDescent="0.3">
      <c r="A96" s="2">
        <v>44964.166666666657</v>
      </c>
      <c r="B96">
        <v>25.98293990385238</v>
      </c>
      <c r="C96">
        <v>59.338816885107221</v>
      </c>
      <c r="D96">
        <v>370.80403328766761</v>
      </c>
      <c r="E96">
        <v>2.0882833305187769</v>
      </c>
      <c r="F96">
        <v>1.9665934427040641</v>
      </c>
      <c r="G96">
        <f t="shared" si="1"/>
        <v>4</v>
      </c>
      <c r="H96" t="str" cm="1">
        <f t="array" ref="H96">_xlfn.IFS(AND(G96&gt;=6,G96&lt;=12),"上",AND(G96&gt;=13,G96&lt;=18),"下",AND(G96&gt;=19,G96&lt;=24),"晚",AND(G96&lt;=5),"晚")</f>
        <v>晚</v>
      </c>
    </row>
    <row r="97" spans="1:8" x14ac:dyDescent="0.3">
      <c r="A97" s="2">
        <v>45187.25</v>
      </c>
      <c r="B97">
        <v>26.76575770127479</v>
      </c>
      <c r="C97">
        <v>44.662444616570063</v>
      </c>
      <c r="D97">
        <v>243.76582328509059</v>
      </c>
      <c r="E97">
        <v>3.064279111910758</v>
      </c>
      <c r="F97">
        <v>0.4481973996476446</v>
      </c>
      <c r="G97">
        <f t="shared" si="1"/>
        <v>6</v>
      </c>
      <c r="H97" t="str" cm="1">
        <f t="array" ref="H97">_xlfn.IFS(AND(G97&gt;=6,G97&lt;=12),"上",AND(G97&gt;=13,G97&lt;=18),"下",AND(G97&gt;=19,G97&lt;=24),"晚",AND(G97&lt;=5),"晚")</f>
        <v>上</v>
      </c>
    </row>
    <row r="98" spans="1:8" x14ac:dyDescent="0.3">
      <c r="A98" s="2">
        <v>45165.541666666657</v>
      </c>
      <c r="B98">
        <v>21.962425809493411</v>
      </c>
      <c r="C98">
        <v>47.056042348835348</v>
      </c>
      <c r="D98">
        <v>947.55728655805035</v>
      </c>
      <c r="E98">
        <v>2.550598360435973</v>
      </c>
      <c r="F98">
        <v>1.136321664196706</v>
      </c>
      <c r="G98">
        <f t="shared" si="1"/>
        <v>13</v>
      </c>
      <c r="H98" t="str" cm="1">
        <f t="array" ref="H98">_xlfn.IFS(AND(G98&gt;=6,G98&lt;=12),"上",AND(G98&gt;=13,G98&lt;=18),"下",AND(G98&gt;=19,G98&lt;=24),"晚",AND(G98&lt;=5),"晚")</f>
        <v>下</v>
      </c>
    </row>
    <row r="99" spans="1:8" x14ac:dyDescent="0.3">
      <c r="A99" s="2">
        <v>44973.916666666657</v>
      </c>
      <c r="B99">
        <v>28.382112629992911</v>
      </c>
      <c r="C99">
        <v>35.03323039615168</v>
      </c>
      <c r="D99">
        <v>486.3509509166397</v>
      </c>
      <c r="E99">
        <v>1.3878323043619509</v>
      </c>
      <c r="F99">
        <v>0.65690098828609578</v>
      </c>
      <c r="G99">
        <f t="shared" si="1"/>
        <v>22</v>
      </c>
      <c r="H99" t="str" cm="1">
        <f t="array" ref="H99">_xlfn.IFS(AND(G99&gt;=6,G99&lt;=12),"上",AND(G99&gt;=13,G99&lt;=18),"下",AND(G99&gt;=19,G99&lt;=24),"晚",AND(G99&lt;=5),"晚")</f>
        <v>晚</v>
      </c>
    </row>
    <row r="100" spans="1:8" x14ac:dyDescent="0.3">
      <c r="A100" s="2">
        <v>45035.041666666657</v>
      </c>
      <c r="B100">
        <v>26.258314142890882</v>
      </c>
      <c r="C100">
        <v>34.273676382768947</v>
      </c>
      <c r="D100">
        <v>674.02244083898654</v>
      </c>
      <c r="E100">
        <v>1.482030015846556</v>
      </c>
      <c r="F100">
        <v>0.33523151305206028</v>
      </c>
      <c r="G100">
        <f t="shared" si="1"/>
        <v>1</v>
      </c>
      <c r="H100" t="str" cm="1">
        <f t="array" ref="H100">_xlfn.IFS(AND(G100&gt;=6,G100&lt;=12),"上",AND(G100&gt;=13,G100&lt;=18),"下",AND(G100&gt;=19,G100&lt;=24),"晚",AND(G100&lt;=5),"晚")</f>
        <v>晚</v>
      </c>
    </row>
    <row r="101" spans="1:8" x14ac:dyDescent="0.3">
      <c r="A101" s="2">
        <v>44964.25</v>
      </c>
      <c r="B101">
        <v>22.250550733295039</v>
      </c>
      <c r="C101">
        <v>51.673673617972412</v>
      </c>
      <c r="D101">
        <v>934.08502257740258</v>
      </c>
      <c r="E101">
        <v>2.614726425053314</v>
      </c>
      <c r="F101">
        <v>1.7180266636958299</v>
      </c>
      <c r="G101">
        <f t="shared" si="1"/>
        <v>6</v>
      </c>
      <c r="H101" t="str" cm="1">
        <f t="array" ref="H101">_xlfn.IFS(AND(G101&gt;=6,G101&lt;=12),"上",AND(G101&gt;=13,G101&lt;=18),"下",AND(G101&gt;=19,G101&lt;=24),"晚",AND(G101&lt;=5),"晚")</f>
        <v>上</v>
      </c>
    </row>
    <row r="102" spans="1:8" x14ac:dyDescent="0.3">
      <c r="A102" s="2">
        <v>45097.166666666657</v>
      </c>
      <c r="B102">
        <v>29.67190116717553</v>
      </c>
      <c r="C102">
        <v>55.482806137503637</v>
      </c>
      <c r="D102">
        <v>615.22643336520991</v>
      </c>
      <c r="E102">
        <v>1.0140963031199131</v>
      </c>
      <c r="F102">
        <v>1.1975897989861</v>
      </c>
      <c r="G102">
        <f t="shared" si="1"/>
        <v>4</v>
      </c>
      <c r="H102" t="str" cm="1">
        <f t="array" ref="H102">_xlfn.IFS(AND(G102&gt;=6,G102&lt;=12),"上",AND(G102&gt;=13,G102&lt;=18),"下",AND(G102&gt;=19,G102&lt;=24),"晚",AND(G102&lt;=5),"晚")</f>
        <v>晚</v>
      </c>
    </row>
    <row r="103" spans="1:8" x14ac:dyDescent="0.3">
      <c r="A103" s="2">
        <v>45228.625</v>
      </c>
      <c r="B103">
        <v>22.1586562467402</v>
      </c>
      <c r="C103">
        <v>33.685226813113253</v>
      </c>
      <c r="D103">
        <v>214.29924854492961</v>
      </c>
      <c r="E103">
        <v>1.099881314744845</v>
      </c>
      <c r="F103">
        <v>1.199775600669563</v>
      </c>
      <c r="G103">
        <f t="shared" si="1"/>
        <v>15</v>
      </c>
      <c r="H103" t="str" cm="1">
        <f t="array" ref="H103">_xlfn.IFS(AND(G103&gt;=6,G103&lt;=12),"上",AND(G103&gt;=13,G103&lt;=18),"下",AND(G103&gt;=19,G103&lt;=24),"晚",AND(G103&lt;=5),"晚")</f>
        <v>下</v>
      </c>
    </row>
    <row r="104" spans="1:8" x14ac:dyDescent="0.3">
      <c r="A104" s="2">
        <v>45280.416666666657</v>
      </c>
      <c r="B104">
        <v>26.785878069331911</v>
      </c>
      <c r="C104">
        <v>35.577289751535901</v>
      </c>
      <c r="D104">
        <v>809.72322117181147</v>
      </c>
      <c r="E104">
        <v>1.213058166100931</v>
      </c>
      <c r="F104">
        <v>1.1361360008028849</v>
      </c>
      <c r="G104">
        <f t="shared" si="1"/>
        <v>10</v>
      </c>
      <c r="H104" t="str" cm="1">
        <f t="array" ref="H104">_xlfn.IFS(AND(G104&gt;=6,G104&lt;=12),"上",AND(G104&gt;=13,G104&lt;=18),"下",AND(G104&gt;=19,G104&lt;=24),"晚",AND(G104&lt;=5),"晚")</f>
        <v>上</v>
      </c>
    </row>
    <row r="105" spans="1:8" x14ac:dyDescent="0.3">
      <c r="A105" s="2">
        <v>45263.291666666657</v>
      </c>
      <c r="B105">
        <v>24.738897788599228</v>
      </c>
      <c r="C105">
        <v>31.2977100409387</v>
      </c>
      <c r="D105">
        <v>797.19766477656674</v>
      </c>
      <c r="E105">
        <v>4.0616082510754401</v>
      </c>
      <c r="F105">
        <v>0.45048940295833267</v>
      </c>
      <c r="G105">
        <f t="shared" si="1"/>
        <v>7</v>
      </c>
      <c r="H105" t="str" cm="1">
        <f t="array" ref="H105">_xlfn.IFS(AND(G105&gt;=6,G105&lt;=12),"上",AND(G105&gt;=13,G105&lt;=18),"下",AND(G105&gt;=19,G105&lt;=24),"晚",AND(G105&lt;=5),"晚")</f>
        <v>上</v>
      </c>
    </row>
    <row r="106" spans="1:8" x14ac:dyDescent="0.3">
      <c r="A106" s="2">
        <v>45122.625</v>
      </c>
      <c r="B106">
        <v>27.23284822559139</v>
      </c>
      <c r="C106">
        <v>36.496347914474129</v>
      </c>
      <c r="D106">
        <v>464.14876644847868</v>
      </c>
      <c r="E106">
        <v>4.5575909159048971</v>
      </c>
      <c r="F106">
        <v>1.180403014613733</v>
      </c>
      <c r="G106">
        <f t="shared" si="1"/>
        <v>15</v>
      </c>
      <c r="H106" t="str" cm="1">
        <f t="array" ref="H106">_xlfn.IFS(AND(G106&gt;=6,G106&lt;=12),"上",AND(G106&gt;=13,G106&lt;=18),"下",AND(G106&gt;=19,G106&lt;=24),"晚",AND(G106&lt;=5),"晚")</f>
        <v>下</v>
      </c>
    </row>
    <row r="107" spans="1:8" x14ac:dyDescent="0.3">
      <c r="A107" s="2">
        <v>44957.75</v>
      </c>
      <c r="B107">
        <v>20.977591239205349</v>
      </c>
      <c r="C107">
        <v>38.903100834953257</v>
      </c>
      <c r="D107">
        <v>585.45426223136349</v>
      </c>
      <c r="E107">
        <v>4.6170683896918412</v>
      </c>
      <c r="F107">
        <v>0.2736391274272888</v>
      </c>
      <c r="G107">
        <f t="shared" si="1"/>
        <v>18</v>
      </c>
      <c r="H107" t="str" cm="1">
        <f t="array" ref="H107">_xlfn.IFS(AND(G107&gt;=6,G107&lt;=12),"上",AND(G107&gt;=13,G107&lt;=18),"下",AND(G107&gt;=19,G107&lt;=24),"晚",AND(G107&lt;=5),"晚")</f>
        <v>下</v>
      </c>
    </row>
    <row r="108" spans="1:8" x14ac:dyDescent="0.3">
      <c r="A108" s="2">
        <v>45033.916666666657</v>
      </c>
      <c r="B108">
        <v>29.525452555333541</v>
      </c>
      <c r="C108">
        <v>57.628123818121253</v>
      </c>
      <c r="D108">
        <v>482.39740420246989</v>
      </c>
      <c r="E108">
        <v>1.032492188367802</v>
      </c>
      <c r="F108">
        <v>1.397019553797614</v>
      </c>
      <c r="G108">
        <f t="shared" si="1"/>
        <v>22</v>
      </c>
      <c r="H108" t="str" cm="1">
        <f t="array" ref="H108">_xlfn.IFS(AND(G108&gt;=6,G108&lt;=12),"上",AND(G108&gt;=13,G108&lt;=18),"下",AND(G108&gt;=19,G108&lt;=24),"晚",AND(G108&lt;=5),"晚")</f>
        <v>晚</v>
      </c>
    </row>
    <row r="109" spans="1:8" x14ac:dyDescent="0.3">
      <c r="A109" s="2">
        <v>45089.25</v>
      </c>
      <c r="B109">
        <v>22.044890308079111</v>
      </c>
      <c r="C109">
        <v>32.608585888665033</v>
      </c>
      <c r="D109">
        <v>301.82000848284548</v>
      </c>
      <c r="E109">
        <v>3.6167431553223648</v>
      </c>
      <c r="F109">
        <v>0.19776861931309839</v>
      </c>
      <c r="G109">
        <f t="shared" si="1"/>
        <v>6</v>
      </c>
      <c r="H109" t="str" cm="1">
        <f t="array" ref="H109">_xlfn.IFS(AND(G109&gt;=6,G109&lt;=12),"上",AND(G109&gt;=13,G109&lt;=18),"下",AND(G109&gt;=19,G109&lt;=24),"晚",AND(G109&lt;=5),"晚")</f>
        <v>上</v>
      </c>
    </row>
    <row r="110" spans="1:8" x14ac:dyDescent="0.3">
      <c r="A110" s="2">
        <v>45004.708333333343</v>
      </c>
      <c r="B110">
        <v>22.203839392367531</v>
      </c>
      <c r="C110">
        <v>57.496260365468707</v>
      </c>
      <c r="D110">
        <v>786.62953972691128</v>
      </c>
      <c r="E110">
        <v>2.145700635569427</v>
      </c>
      <c r="F110">
        <v>0.45938712224620981</v>
      </c>
      <c r="G110">
        <f t="shared" si="1"/>
        <v>17</v>
      </c>
      <c r="H110" t="str" cm="1">
        <f t="array" ref="H110">_xlfn.IFS(AND(G110&gt;=6,G110&lt;=12),"上",AND(G110&gt;=13,G110&lt;=18),"下",AND(G110&gt;=19,G110&lt;=24),"晚",AND(G110&lt;=5),"晚")</f>
        <v>下</v>
      </c>
    </row>
    <row r="111" spans="1:8" x14ac:dyDescent="0.3">
      <c r="A111" s="2">
        <v>45064.708333333343</v>
      </c>
      <c r="B111">
        <v>25.540285354922339</v>
      </c>
      <c r="C111">
        <v>46.217138946474407</v>
      </c>
      <c r="D111">
        <v>769.99152366969327</v>
      </c>
      <c r="E111">
        <v>1.2795179194131729</v>
      </c>
      <c r="F111">
        <v>0.65901381447891316</v>
      </c>
      <c r="G111">
        <f t="shared" si="1"/>
        <v>17</v>
      </c>
      <c r="H111" t="str" cm="1">
        <f t="array" ref="H111">_xlfn.IFS(AND(G111&gt;=6,G111&lt;=12),"上",AND(G111&gt;=13,G111&lt;=18),"下",AND(G111&gt;=19,G111&lt;=24),"晚",AND(G111&lt;=5),"晚")</f>
        <v>下</v>
      </c>
    </row>
    <row r="112" spans="1:8" x14ac:dyDescent="0.3">
      <c r="A112" s="2">
        <v>45051.375</v>
      </c>
      <c r="B112">
        <v>23.497332634208711</v>
      </c>
      <c r="C112">
        <v>35.718148932952531</v>
      </c>
      <c r="D112">
        <v>682.35030272265362</v>
      </c>
      <c r="E112">
        <v>1.4150258237562059</v>
      </c>
      <c r="F112">
        <v>0.62996931355377017</v>
      </c>
      <c r="G112">
        <f t="shared" si="1"/>
        <v>9</v>
      </c>
      <c r="H112" t="str" cm="1">
        <f t="array" ref="H112">_xlfn.IFS(AND(G112&gt;=6,G112&lt;=12),"上",AND(G112&gt;=13,G112&lt;=18),"下",AND(G112&gt;=19,G112&lt;=24),"晚",AND(G112&lt;=5),"晚")</f>
        <v>上</v>
      </c>
    </row>
    <row r="113" spans="1:8" x14ac:dyDescent="0.3">
      <c r="A113" s="2">
        <v>44970.666666666657</v>
      </c>
      <c r="B113">
        <v>24.4212968565122</v>
      </c>
      <c r="C113">
        <v>69.293166931263215</v>
      </c>
      <c r="D113">
        <v>510.07644149847141</v>
      </c>
      <c r="E113">
        <v>1.2669322854135741</v>
      </c>
      <c r="F113">
        <v>1.6429943490246131</v>
      </c>
      <c r="G113">
        <f t="shared" si="1"/>
        <v>16</v>
      </c>
      <c r="H113" t="str" cm="1">
        <f t="array" ref="H113">_xlfn.IFS(AND(G113&gt;=6,G113&lt;=12),"上",AND(G113&gt;=13,G113&lt;=18),"下",AND(G113&gt;=19,G113&lt;=24),"晚",AND(G113&lt;=5),"晚")</f>
        <v>下</v>
      </c>
    </row>
    <row r="114" spans="1:8" x14ac:dyDescent="0.3">
      <c r="A114" s="2">
        <v>45061.208333333343</v>
      </c>
      <c r="B114">
        <v>20.370984965262359</v>
      </c>
      <c r="C114">
        <v>50.17076088331784</v>
      </c>
      <c r="D114">
        <v>518.32542941079419</v>
      </c>
      <c r="E114">
        <v>3.2010703305018189</v>
      </c>
      <c r="F114">
        <v>0.64672622474332309</v>
      </c>
      <c r="G114">
        <f t="shared" si="1"/>
        <v>5</v>
      </c>
      <c r="H114" t="str" cm="1">
        <f t="array" ref="H114">_xlfn.IFS(AND(G114&gt;=6,G114&lt;=12),"上",AND(G114&gt;=13,G114&lt;=18),"下",AND(G114&gt;=19,G114&lt;=24),"晚",AND(G114&lt;=5),"晚")</f>
        <v>晚</v>
      </c>
    </row>
    <row r="115" spans="1:8" x14ac:dyDescent="0.3">
      <c r="A115" s="2">
        <v>45048.541666666657</v>
      </c>
      <c r="B115">
        <v>22.348844452006279</v>
      </c>
      <c r="C115">
        <v>41.767371101190427</v>
      </c>
      <c r="D115">
        <v>368.59946358485843</v>
      </c>
      <c r="E115">
        <v>2.2275026563663509</v>
      </c>
      <c r="F115">
        <v>0.2405200140315733</v>
      </c>
      <c r="G115">
        <f t="shared" si="1"/>
        <v>13</v>
      </c>
      <c r="H115" t="str" cm="1">
        <f t="array" ref="H115">_xlfn.IFS(AND(G115&gt;=6,G115&lt;=12),"上",AND(G115&gt;=13,G115&lt;=18),"下",AND(G115&gt;=19,G115&lt;=24),"晚",AND(G115&lt;=5),"晚")</f>
        <v>下</v>
      </c>
    </row>
    <row r="116" spans="1:8" x14ac:dyDescent="0.3">
      <c r="A116" s="2">
        <v>45188.958333333343</v>
      </c>
      <c r="B116">
        <v>27.73533116741887</v>
      </c>
      <c r="C116">
        <v>32.220206857550828</v>
      </c>
      <c r="D116">
        <v>339.15213149701248</v>
      </c>
      <c r="E116">
        <v>1.6651086395944059</v>
      </c>
      <c r="F116">
        <v>0.2291671178112972</v>
      </c>
      <c r="G116">
        <f t="shared" si="1"/>
        <v>23</v>
      </c>
      <c r="H116" t="str" cm="1">
        <f t="array" ref="H116">_xlfn.IFS(AND(G116&gt;=6,G116&lt;=12),"上",AND(G116&gt;=13,G116&lt;=18),"下",AND(G116&gt;=19,G116&lt;=24),"晚",AND(G116&lt;=5),"晚")</f>
        <v>晚</v>
      </c>
    </row>
    <row r="117" spans="1:8" x14ac:dyDescent="0.3">
      <c r="A117" s="2">
        <v>45177.5</v>
      </c>
      <c r="B117">
        <v>29.022151540254661</v>
      </c>
      <c r="C117">
        <v>42.572865763730761</v>
      </c>
      <c r="D117">
        <v>864.0742571398107</v>
      </c>
      <c r="E117">
        <v>1.581904567735595</v>
      </c>
      <c r="F117">
        <v>0.38388568683138302</v>
      </c>
      <c r="G117">
        <f t="shared" si="1"/>
        <v>12</v>
      </c>
      <c r="H117" t="str" cm="1">
        <f t="array" ref="H117">_xlfn.IFS(AND(G117&gt;=6,G117&lt;=12),"上",AND(G117&gt;=13,G117&lt;=18),"下",AND(G117&gt;=19,G117&lt;=24),"晚",AND(G117&lt;=5),"晚")</f>
        <v>上</v>
      </c>
    </row>
    <row r="118" spans="1:8" x14ac:dyDescent="0.3">
      <c r="A118" s="2">
        <v>45075</v>
      </c>
      <c r="B118">
        <v>22.334774429383621</v>
      </c>
      <c r="C118">
        <v>54.498249251683319</v>
      </c>
      <c r="D118">
        <v>873.43680017241877</v>
      </c>
      <c r="E118">
        <v>4.3576437331518889</v>
      </c>
      <c r="F118">
        <v>0.84896461087860475</v>
      </c>
      <c r="G118">
        <f t="shared" si="1"/>
        <v>0</v>
      </c>
      <c r="H118" t="str" cm="1">
        <f t="array" ref="H118">_xlfn.IFS(AND(G118&gt;=6,G118&lt;=12),"上",AND(G118&gt;=13,G118&lt;=18),"下",AND(G118&gt;=19,G118&lt;=24),"晚",AND(G118&lt;=5),"晚")</f>
        <v>晚</v>
      </c>
    </row>
    <row r="119" spans="1:8" x14ac:dyDescent="0.3">
      <c r="A119" s="2">
        <v>45118.125</v>
      </c>
      <c r="B119">
        <v>27.733489997148371</v>
      </c>
      <c r="C119">
        <v>39.830916475501702</v>
      </c>
      <c r="D119">
        <v>113.8103901541357</v>
      </c>
      <c r="E119">
        <v>1.0902029867730021</v>
      </c>
      <c r="F119">
        <v>0.47394704409846761</v>
      </c>
      <c r="G119">
        <f t="shared" si="1"/>
        <v>3</v>
      </c>
      <c r="H119" t="str" cm="1">
        <f t="array" ref="H119">_xlfn.IFS(AND(G119&gt;=6,G119&lt;=12),"上",AND(G119&gt;=13,G119&lt;=18),"下",AND(G119&gt;=19,G119&lt;=24),"晚",AND(G119&lt;=5),"晚")</f>
        <v>晚</v>
      </c>
    </row>
    <row r="120" spans="1:8" x14ac:dyDescent="0.3">
      <c r="A120" s="2">
        <v>45045.041666666657</v>
      </c>
      <c r="B120">
        <v>20.289466930794159</v>
      </c>
      <c r="C120">
        <v>52.769658038396457</v>
      </c>
      <c r="D120">
        <v>747.64571217836749</v>
      </c>
      <c r="E120">
        <v>2.9810294021599222</v>
      </c>
      <c r="F120">
        <v>0.54654248302624564</v>
      </c>
      <c r="G120">
        <f t="shared" si="1"/>
        <v>1</v>
      </c>
      <c r="H120" t="str" cm="1">
        <f t="array" ref="H120">_xlfn.IFS(AND(G120&gt;=6,G120&lt;=12),"上",AND(G120&gt;=13,G120&lt;=18),"下",AND(G120&gt;=19,G120&lt;=24),"晚",AND(G120&lt;=5),"晚")</f>
        <v>晚</v>
      </c>
    </row>
    <row r="121" spans="1:8" x14ac:dyDescent="0.3">
      <c r="A121" s="2">
        <v>44945.458333333343</v>
      </c>
      <c r="B121">
        <v>20.447242800570201</v>
      </c>
      <c r="C121">
        <v>41.131125055822082</v>
      </c>
      <c r="D121">
        <v>396.92990232921818</v>
      </c>
      <c r="E121">
        <v>1.2909655189277529</v>
      </c>
      <c r="F121">
        <v>0.44955374544112092</v>
      </c>
      <c r="G121">
        <f t="shared" si="1"/>
        <v>11</v>
      </c>
      <c r="H121" t="str" cm="1">
        <f t="array" ref="H121">_xlfn.IFS(AND(G121&gt;=6,G121&lt;=12),"上",AND(G121&gt;=13,G121&lt;=18),"下",AND(G121&gt;=19,G121&lt;=24),"晚",AND(G121&lt;=5),"晚")</f>
        <v>上</v>
      </c>
    </row>
    <row r="122" spans="1:8" x14ac:dyDescent="0.3">
      <c r="A122" s="2">
        <v>45110.833333333343</v>
      </c>
      <c r="B122">
        <v>23.93009218386543</v>
      </c>
      <c r="C122">
        <v>31.778177096621079</v>
      </c>
      <c r="D122">
        <v>927.41260932740545</v>
      </c>
      <c r="E122">
        <v>1.5838111790674241</v>
      </c>
      <c r="F122">
        <v>0.66759725470758879</v>
      </c>
      <c r="G122">
        <f t="shared" si="1"/>
        <v>20</v>
      </c>
      <c r="H122" t="str" cm="1">
        <f t="array" ref="H122">_xlfn.IFS(AND(G122&gt;=6,G122&lt;=12),"上",AND(G122&gt;=13,G122&lt;=18),"下",AND(G122&gt;=19,G122&lt;=24),"晚",AND(G122&lt;=5),"晚")</f>
        <v>晚</v>
      </c>
    </row>
    <row r="123" spans="1:8" x14ac:dyDescent="0.3">
      <c r="A123" s="2">
        <v>45141.458333333343</v>
      </c>
      <c r="B123">
        <v>21.479111457346509</v>
      </c>
      <c r="C123">
        <v>46.526650476089458</v>
      </c>
      <c r="D123">
        <v>317.90813785575881</v>
      </c>
      <c r="E123">
        <v>2.861175854647581</v>
      </c>
      <c r="F123">
        <v>1.059231584383898</v>
      </c>
      <c r="G123">
        <f t="shared" si="1"/>
        <v>11</v>
      </c>
      <c r="H123" t="str" cm="1">
        <f t="array" ref="H123">_xlfn.IFS(AND(G123&gt;=6,G123&lt;=12),"上",AND(G123&gt;=13,G123&lt;=18),"下",AND(G123&gt;=19,G123&lt;=24),"晚",AND(G123&lt;=5),"晚")</f>
        <v>上</v>
      </c>
    </row>
    <row r="124" spans="1:8" x14ac:dyDescent="0.3">
      <c r="A124" s="2">
        <v>45164.708333333343</v>
      </c>
      <c r="B124">
        <v>21.661385686436891</v>
      </c>
      <c r="C124">
        <v>44.264811508407433</v>
      </c>
      <c r="D124">
        <v>401.86282514482821</v>
      </c>
      <c r="E124">
        <v>1.8275916645219139</v>
      </c>
      <c r="F124">
        <v>1.945559436200103</v>
      </c>
      <c r="G124">
        <f t="shared" si="1"/>
        <v>17</v>
      </c>
      <c r="H124" t="str" cm="1">
        <f t="array" ref="H124">_xlfn.IFS(AND(G124&gt;=6,G124&lt;=12),"上",AND(G124&gt;=13,G124&lt;=18),"下",AND(G124&gt;=19,G124&lt;=24),"晚",AND(G124&lt;=5),"晚")</f>
        <v>下</v>
      </c>
    </row>
    <row r="125" spans="1:8" x14ac:dyDescent="0.3">
      <c r="A125" s="2">
        <v>45127.583333333343</v>
      </c>
      <c r="B125">
        <v>26.27397024816802</v>
      </c>
      <c r="C125">
        <v>39.835606382798943</v>
      </c>
      <c r="D125">
        <v>772.60248504727417</v>
      </c>
      <c r="E125">
        <v>3.5467786058500268</v>
      </c>
      <c r="F125">
        <v>1.6047818395649369</v>
      </c>
      <c r="G125">
        <f t="shared" si="1"/>
        <v>14</v>
      </c>
      <c r="H125" t="str" cm="1">
        <f t="array" ref="H125">_xlfn.IFS(AND(G125&gt;=6,G125&lt;=12),"上",AND(G125&gt;=13,G125&lt;=18),"下",AND(G125&gt;=19,G125&lt;=24),"晚",AND(G125&lt;=5),"晚")</f>
        <v>下</v>
      </c>
    </row>
    <row r="126" spans="1:8" x14ac:dyDescent="0.3">
      <c r="A126" s="2">
        <v>44941.958333333343</v>
      </c>
      <c r="B126">
        <v>28.581642688718119</v>
      </c>
      <c r="C126">
        <v>51.158873262374883</v>
      </c>
      <c r="D126">
        <v>166.6894240618885</v>
      </c>
      <c r="E126">
        <v>2.515932165244378</v>
      </c>
      <c r="F126">
        <v>0.4277893365742933</v>
      </c>
      <c r="G126">
        <f t="shared" si="1"/>
        <v>23</v>
      </c>
      <c r="H126" t="str" cm="1">
        <f t="array" ref="H126">_xlfn.IFS(AND(G126&gt;=6,G126&lt;=12),"上",AND(G126&gt;=13,G126&lt;=18),"下",AND(G126&gt;=19,G126&lt;=24),"晚",AND(G126&lt;=5),"晚")</f>
        <v>晚</v>
      </c>
    </row>
    <row r="127" spans="1:8" x14ac:dyDescent="0.3">
      <c r="A127" s="2">
        <v>45004.708333333343</v>
      </c>
      <c r="B127">
        <v>27.789672417730511</v>
      </c>
      <c r="C127">
        <v>45.584912972888183</v>
      </c>
      <c r="D127">
        <v>737.23514213400381</v>
      </c>
      <c r="E127">
        <v>4.1379189547240092</v>
      </c>
      <c r="F127">
        <v>1.6254163117805811</v>
      </c>
      <c r="G127">
        <f t="shared" si="1"/>
        <v>17</v>
      </c>
      <c r="H127" t="str" cm="1">
        <f t="array" ref="H127">_xlfn.IFS(AND(G127&gt;=6,G127&lt;=12),"上",AND(G127&gt;=13,G127&lt;=18),"下",AND(G127&gt;=19,G127&lt;=24),"晚",AND(G127&lt;=5),"晚")</f>
        <v>下</v>
      </c>
    </row>
    <row r="128" spans="1:8" x14ac:dyDescent="0.3">
      <c r="A128" s="2">
        <v>45237.083333333343</v>
      </c>
      <c r="B128">
        <v>23.364938083574241</v>
      </c>
      <c r="C128">
        <v>67.997818711920843</v>
      </c>
      <c r="D128">
        <v>707.2109413090036</v>
      </c>
      <c r="E128">
        <v>3.6315785295992731</v>
      </c>
      <c r="F128">
        <v>1.4491767568052241</v>
      </c>
      <c r="G128">
        <f t="shared" si="1"/>
        <v>2</v>
      </c>
      <c r="H128" t="str" cm="1">
        <f t="array" ref="H128">_xlfn.IFS(AND(G128&gt;=6,G128&lt;=12),"上",AND(G128&gt;=13,G128&lt;=18),"下",AND(G128&gt;=19,G128&lt;=24),"晚",AND(G128&lt;=5),"晚")</f>
        <v>晚</v>
      </c>
    </row>
    <row r="129" spans="1:8" x14ac:dyDescent="0.3">
      <c r="A129" s="2">
        <v>45038.416666666657</v>
      </c>
      <c r="B129">
        <v>28.752159670234089</v>
      </c>
      <c r="C129">
        <v>54.8491649366103</v>
      </c>
      <c r="D129">
        <v>373.61948130063058</v>
      </c>
      <c r="E129">
        <v>4.9116596446599567</v>
      </c>
      <c r="F129">
        <v>1.8210169788069821</v>
      </c>
      <c r="G129">
        <f t="shared" si="1"/>
        <v>10</v>
      </c>
      <c r="H129" t="str" cm="1">
        <f t="array" ref="H129">_xlfn.IFS(AND(G129&gt;=6,G129&lt;=12),"上",AND(G129&gt;=13,G129&lt;=18),"下",AND(G129&gt;=19,G129&lt;=24),"晚",AND(G129&lt;=5),"晚")</f>
        <v>上</v>
      </c>
    </row>
    <row r="130" spans="1:8" x14ac:dyDescent="0.3">
      <c r="A130" s="2">
        <v>45123.083333333343</v>
      </c>
      <c r="B130">
        <v>28.41345920366086</v>
      </c>
      <c r="C130">
        <v>44.326165717148157</v>
      </c>
      <c r="D130">
        <v>741.49238694157509</v>
      </c>
      <c r="E130">
        <v>2.428145591801985</v>
      </c>
      <c r="F130">
        <v>0.92594279369640309</v>
      </c>
      <c r="G130">
        <f t="shared" si="1"/>
        <v>2</v>
      </c>
      <c r="H130" t="str" cm="1">
        <f t="array" ref="H130">_xlfn.IFS(AND(G130&gt;=6,G130&lt;=12),"上",AND(G130&gt;=13,G130&lt;=18),"下",AND(G130&gt;=19,G130&lt;=24),"晚",AND(G130&lt;=5),"晚")</f>
        <v>晚</v>
      </c>
    </row>
    <row r="131" spans="1:8" x14ac:dyDescent="0.3">
      <c r="A131" s="2">
        <v>45237.375</v>
      </c>
      <c r="B131">
        <v>25.242116968238289</v>
      </c>
      <c r="C131">
        <v>38.573467737823293</v>
      </c>
      <c r="D131">
        <v>912.63223381318869</v>
      </c>
      <c r="E131">
        <v>2.7846145666988669</v>
      </c>
      <c r="F131">
        <v>1.7474874968715139</v>
      </c>
      <c r="G131">
        <f t="shared" ref="G131:G194" si="2">HOUR(A131)</f>
        <v>9</v>
      </c>
      <c r="H131" t="str" cm="1">
        <f t="array" ref="H131">_xlfn.IFS(AND(G131&gt;=6,G131&lt;=12),"上",AND(G131&gt;=13,G131&lt;=18),"下",AND(G131&gt;=19,G131&lt;=24),"晚",AND(G131&lt;=5),"晚")</f>
        <v>上</v>
      </c>
    </row>
    <row r="132" spans="1:8" x14ac:dyDescent="0.3">
      <c r="A132" s="2">
        <v>45101.166666666657</v>
      </c>
      <c r="B132">
        <v>24.758760626650279</v>
      </c>
      <c r="C132">
        <v>56.604954345774672</v>
      </c>
      <c r="D132">
        <v>823.54709868003954</v>
      </c>
      <c r="E132">
        <v>3.672793448224041</v>
      </c>
      <c r="F132">
        <v>1.4263714798026981</v>
      </c>
      <c r="G132">
        <f t="shared" si="2"/>
        <v>4</v>
      </c>
      <c r="H132" t="str" cm="1">
        <f t="array" ref="H132">_xlfn.IFS(AND(G132&gt;=6,G132&lt;=12),"上",AND(G132&gt;=13,G132&lt;=18),"下",AND(G132&gt;=19,G132&lt;=24),"晚",AND(G132&lt;=5),"晚")</f>
        <v>晚</v>
      </c>
    </row>
    <row r="133" spans="1:8" x14ac:dyDescent="0.3">
      <c r="A133" s="2">
        <v>45050.333333333343</v>
      </c>
      <c r="B133">
        <v>20.584624186571268</v>
      </c>
      <c r="C133">
        <v>66.805148765934049</v>
      </c>
      <c r="D133">
        <v>566.05810838152479</v>
      </c>
      <c r="E133">
        <v>2.688326786920221</v>
      </c>
      <c r="F133">
        <v>0.61887589461459214</v>
      </c>
      <c r="G133">
        <f t="shared" si="2"/>
        <v>8</v>
      </c>
      <c r="H133" t="str" cm="1">
        <f t="array" ref="H133">_xlfn.IFS(AND(G133&gt;=6,G133&lt;=12),"上",AND(G133&gt;=13,G133&lt;=18),"下",AND(G133&gt;=19,G133&lt;=24),"晚",AND(G133&lt;=5),"晚")</f>
        <v>上</v>
      </c>
    </row>
    <row r="134" spans="1:8" x14ac:dyDescent="0.3">
      <c r="A134" s="2">
        <v>45168.083333333343</v>
      </c>
      <c r="B134">
        <v>21.505250696564289</v>
      </c>
      <c r="C134">
        <v>55.084524428953927</v>
      </c>
      <c r="D134">
        <v>219.20095186042889</v>
      </c>
      <c r="E134">
        <v>1.956227587763554</v>
      </c>
      <c r="F134">
        <v>0.84057468213058051</v>
      </c>
      <c r="G134">
        <f t="shared" si="2"/>
        <v>2</v>
      </c>
      <c r="H134" t="str" cm="1">
        <f t="array" ref="H134">_xlfn.IFS(AND(G134&gt;=6,G134&lt;=12),"上",AND(G134&gt;=13,G134&lt;=18),"下",AND(G134&gt;=19,G134&lt;=24),"晚",AND(G134&lt;=5),"晚")</f>
        <v>晚</v>
      </c>
    </row>
    <row r="135" spans="1:8" x14ac:dyDescent="0.3">
      <c r="A135" s="2">
        <v>45002.708333333343</v>
      </c>
      <c r="B135">
        <v>20.854131995282469</v>
      </c>
      <c r="C135">
        <v>63.175689705752262</v>
      </c>
      <c r="D135">
        <v>903.10531013391414</v>
      </c>
      <c r="E135">
        <v>1.026708905447443</v>
      </c>
      <c r="F135">
        <v>1.6931093203548899</v>
      </c>
      <c r="G135">
        <f t="shared" si="2"/>
        <v>17</v>
      </c>
      <c r="H135" t="str" cm="1">
        <f t="array" ref="H135">_xlfn.IFS(AND(G135&gt;=6,G135&lt;=12),"上",AND(G135&gt;=13,G135&lt;=18),"下",AND(G135&gt;=19,G135&lt;=24),"晚",AND(G135&lt;=5),"晚")</f>
        <v>下</v>
      </c>
    </row>
    <row r="136" spans="1:8" x14ac:dyDescent="0.3">
      <c r="A136" s="2">
        <v>45067.208333333343</v>
      </c>
      <c r="B136">
        <v>25.26772502073614</v>
      </c>
      <c r="C136">
        <v>57.369146843918841</v>
      </c>
      <c r="D136">
        <v>540.7462714856598</v>
      </c>
      <c r="E136">
        <v>2.1024235708062138</v>
      </c>
      <c r="F136">
        <v>1.634653331636382</v>
      </c>
      <c r="G136">
        <f t="shared" si="2"/>
        <v>5</v>
      </c>
      <c r="H136" t="str" cm="1">
        <f t="array" ref="H136">_xlfn.IFS(AND(G136&gt;=6,G136&lt;=12),"上",AND(G136&gt;=13,G136&lt;=18),"下",AND(G136&gt;=19,G136&lt;=24),"晚",AND(G136&lt;=5),"晚")</f>
        <v>晚</v>
      </c>
    </row>
    <row r="137" spans="1:8" x14ac:dyDescent="0.3">
      <c r="A137" s="2">
        <v>44927.958333333343</v>
      </c>
      <c r="B137">
        <v>26.76638496232259</v>
      </c>
      <c r="C137">
        <v>67.88726018033924</v>
      </c>
      <c r="D137">
        <v>467.08977632585601</v>
      </c>
      <c r="E137">
        <v>4.4567864846127279</v>
      </c>
      <c r="F137">
        <v>0.5664613481649674</v>
      </c>
      <c r="G137">
        <f t="shared" si="2"/>
        <v>23</v>
      </c>
      <c r="H137" t="str" cm="1">
        <f t="array" ref="H137">_xlfn.IFS(AND(G137&gt;=6,G137&lt;=12),"上",AND(G137&gt;=13,G137&lt;=18),"下",AND(G137&gt;=19,G137&lt;=24),"晚",AND(G137&lt;=5),"晚")</f>
        <v>晚</v>
      </c>
    </row>
    <row r="138" spans="1:8" x14ac:dyDescent="0.3">
      <c r="A138" s="2">
        <v>45199.458333333343</v>
      </c>
      <c r="B138">
        <v>26.187820104468489</v>
      </c>
      <c r="C138">
        <v>46.288356244319772</v>
      </c>
      <c r="D138">
        <v>592.9778607124473</v>
      </c>
      <c r="E138">
        <v>3.3581564374853361</v>
      </c>
      <c r="F138">
        <v>1.688920392170616</v>
      </c>
      <c r="G138">
        <f t="shared" si="2"/>
        <v>11</v>
      </c>
      <c r="H138" t="str" cm="1">
        <f t="array" ref="H138">_xlfn.IFS(AND(G138&gt;=6,G138&lt;=12),"上",AND(G138&gt;=13,G138&lt;=18),"下",AND(G138&gt;=19,G138&lt;=24),"晚",AND(G138&lt;=5),"晚")</f>
        <v>上</v>
      </c>
    </row>
    <row r="139" spans="1:8" x14ac:dyDescent="0.3">
      <c r="A139" s="2">
        <v>45169.916666666657</v>
      </c>
      <c r="B139">
        <v>28.728852436308021</v>
      </c>
      <c r="C139">
        <v>60.909009926365897</v>
      </c>
      <c r="D139">
        <v>292.19286311880393</v>
      </c>
      <c r="E139">
        <v>1.0186007605500129</v>
      </c>
      <c r="F139">
        <v>1.8969384367118689</v>
      </c>
      <c r="G139">
        <f t="shared" si="2"/>
        <v>22</v>
      </c>
      <c r="H139" t="str" cm="1">
        <f t="array" ref="H139">_xlfn.IFS(AND(G139&gt;=6,G139&lt;=12),"上",AND(G139&gt;=13,G139&lt;=18),"下",AND(G139&gt;=19,G139&lt;=24),"晚",AND(G139&lt;=5),"晚")</f>
        <v>晚</v>
      </c>
    </row>
    <row r="140" spans="1:8" x14ac:dyDescent="0.3">
      <c r="A140" s="2">
        <v>45099.291666666657</v>
      </c>
      <c r="B140">
        <v>26.587024039381468</v>
      </c>
      <c r="C140">
        <v>50.367438748870818</v>
      </c>
      <c r="D140">
        <v>402.57204202054089</v>
      </c>
      <c r="E140">
        <v>4.1517092708478511</v>
      </c>
      <c r="F140">
        <v>1.767761971392217</v>
      </c>
      <c r="G140">
        <f t="shared" si="2"/>
        <v>7</v>
      </c>
      <c r="H140" t="str" cm="1">
        <f t="array" ref="H140">_xlfn.IFS(AND(G140&gt;=6,G140&lt;=12),"上",AND(G140&gt;=13,G140&lt;=18),"下",AND(G140&gt;=19,G140&lt;=24),"晚",AND(G140&lt;=5),"晚")</f>
        <v>上</v>
      </c>
    </row>
    <row r="141" spans="1:8" x14ac:dyDescent="0.3">
      <c r="A141" s="2">
        <v>45192.833333333343</v>
      </c>
      <c r="B141">
        <v>28.29707691015571</v>
      </c>
      <c r="C141">
        <v>31.97965868622514</v>
      </c>
      <c r="D141">
        <v>761.95498873958047</v>
      </c>
      <c r="E141">
        <v>1.0624466194180899</v>
      </c>
      <c r="F141">
        <v>0.82444725265468155</v>
      </c>
      <c r="G141">
        <f t="shared" si="2"/>
        <v>20</v>
      </c>
      <c r="H141" t="str" cm="1">
        <f t="array" ref="H141">_xlfn.IFS(AND(G141&gt;=6,G141&lt;=12),"上",AND(G141&gt;=13,G141&lt;=18),"下",AND(G141&gt;=19,G141&lt;=24),"晚",AND(G141&lt;=5),"晚")</f>
        <v>晚</v>
      </c>
    </row>
    <row r="142" spans="1:8" x14ac:dyDescent="0.3">
      <c r="A142" s="2">
        <v>44975.625</v>
      </c>
      <c r="B142">
        <v>21.40425184573694</v>
      </c>
      <c r="C142">
        <v>30.530489610143089</v>
      </c>
      <c r="D142">
        <v>607.12694386035855</v>
      </c>
      <c r="E142">
        <v>4.8126785750245613</v>
      </c>
      <c r="F142">
        <v>1.128207411601126</v>
      </c>
      <c r="G142">
        <f t="shared" si="2"/>
        <v>15</v>
      </c>
      <c r="H142" t="str" cm="1">
        <f t="array" ref="H142">_xlfn.IFS(AND(G142&gt;=6,G142&lt;=12),"上",AND(G142&gt;=13,G142&lt;=18),"下",AND(G142&gt;=19,G142&lt;=24),"晚",AND(G142&lt;=5),"晚")</f>
        <v>下</v>
      </c>
    </row>
    <row r="143" spans="1:8" x14ac:dyDescent="0.3">
      <c r="A143" s="2">
        <v>45094.791666666657</v>
      </c>
      <c r="B143">
        <v>21.71648074612219</v>
      </c>
      <c r="C143">
        <v>47.00493860099229</v>
      </c>
      <c r="D143">
        <v>786.05096968343855</v>
      </c>
      <c r="E143">
        <v>3.0552390796476319</v>
      </c>
      <c r="F143">
        <v>1.7073252203728491</v>
      </c>
      <c r="G143">
        <f t="shared" si="2"/>
        <v>19</v>
      </c>
      <c r="H143" t="str" cm="1">
        <f t="array" ref="H143">_xlfn.IFS(AND(G143&gt;=6,G143&lt;=12),"上",AND(G143&gt;=13,G143&lt;=18),"下",AND(G143&gt;=19,G143&lt;=24),"晚",AND(G143&lt;=5),"晚")</f>
        <v>晚</v>
      </c>
    </row>
    <row r="144" spans="1:8" x14ac:dyDescent="0.3">
      <c r="A144" s="2">
        <v>45066.291666666657</v>
      </c>
      <c r="B144">
        <v>29.18412277718063</v>
      </c>
      <c r="C144">
        <v>56.398975619571253</v>
      </c>
      <c r="D144">
        <v>785.76814183777844</v>
      </c>
      <c r="E144">
        <v>4.6323677902168674</v>
      </c>
      <c r="F144">
        <v>1.4611608123346831</v>
      </c>
      <c r="G144">
        <f t="shared" si="2"/>
        <v>7</v>
      </c>
      <c r="H144" t="str" cm="1">
        <f t="array" ref="H144">_xlfn.IFS(AND(G144&gt;=6,G144&lt;=12),"上",AND(G144&gt;=13,G144&lt;=18),"下",AND(G144&gt;=19,G144&lt;=24),"晚",AND(G144&lt;=5),"晚")</f>
        <v>上</v>
      </c>
    </row>
    <row r="145" spans="1:8" x14ac:dyDescent="0.3">
      <c r="A145" s="2">
        <v>45046.083333333343</v>
      </c>
      <c r="B145">
        <v>23.54704681979317</v>
      </c>
      <c r="C145">
        <v>64.53090149545703</v>
      </c>
      <c r="D145">
        <v>778.2214586418612</v>
      </c>
      <c r="E145">
        <v>4.5437029615223423</v>
      </c>
      <c r="F145">
        <v>1.4472993862435011</v>
      </c>
      <c r="G145">
        <f t="shared" si="2"/>
        <v>2</v>
      </c>
      <c r="H145" t="str" cm="1">
        <f t="array" ref="H145">_xlfn.IFS(AND(G145&gt;=6,G145&lt;=12),"上",AND(G145&gt;=13,G145&lt;=18),"下",AND(G145&gt;=19,G145&lt;=24),"晚",AND(G145&lt;=5),"晚")</f>
        <v>晚</v>
      </c>
    </row>
    <row r="146" spans="1:8" x14ac:dyDescent="0.3">
      <c r="A146" s="2">
        <v>45047.166666666657</v>
      </c>
      <c r="B146">
        <v>22.169987667457441</v>
      </c>
      <c r="C146">
        <v>31.30492638903868</v>
      </c>
      <c r="D146">
        <v>229.76975678723949</v>
      </c>
      <c r="E146">
        <v>4.5410668334215547</v>
      </c>
      <c r="F146">
        <v>0.64197777609806528</v>
      </c>
      <c r="G146">
        <f t="shared" si="2"/>
        <v>4</v>
      </c>
      <c r="H146" t="str" cm="1">
        <f t="array" ref="H146">_xlfn.IFS(AND(G146&gt;=6,G146&lt;=12),"上",AND(G146&gt;=13,G146&lt;=18),"下",AND(G146&gt;=19,G146&lt;=24),"晚",AND(G146&lt;=5),"晚")</f>
        <v>晚</v>
      </c>
    </row>
    <row r="147" spans="1:8" x14ac:dyDescent="0.3">
      <c r="A147" s="2">
        <v>45030.625</v>
      </c>
      <c r="B147">
        <v>29.120692352914251</v>
      </c>
      <c r="C147">
        <v>67.673764053021159</v>
      </c>
      <c r="D147">
        <v>685.18130603389739</v>
      </c>
      <c r="E147">
        <v>2.5032088746562229</v>
      </c>
      <c r="F147">
        <v>1.2605235908872841</v>
      </c>
      <c r="G147">
        <f t="shared" si="2"/>
        <v>15</v>
      </c>
      <c r="H147" t="str" cm="1">
        <f t="array" ref="H147">_xlfn.IFS(AND(G147&gt;=6,G147&lt;=12),"上",AND(G147&gt;=13,G147&lt;=18),"下",AND(G147&gt;=19,G147&lt;=24),"晚",AND(G147&lt;=5),"晚")</f>
        <v>下</v>
      </c>
    </row>
    <row r="148" spans="1:8" x14ac:dyDescent="0.3">
      <c r="A148" s="2">
        <v>45148.125</v>
      </c>
      <c r="B148">
        <v>29.70104524388832</v>
      </c>
      <c r="C148">
        <v>65.390420479551096</v>
      </c>
      <c r="D148">
        <v>532.16193256152246</v>
      </c>
      <c r="E148">
        <v>1.743513141465052</v>
      </c>
      <c r="F148">
        <v>0.20347611992299919</v>
      </c>
      <c r="G148">
        <f t="shared" si="2"/>
        <v>3</v>
      </c>
      <c r="H148" t="str" cm="1">
        <f t="array" ref="H148">_xlfn.IFS(AND(G148&gt;=6,G148&lt;=12),"上",AND(G148&gt;=13,G148&lt;=18),"下",AND(G148&gt;=19,G148&lt;=24),"晚",AND(G148&lt;=5),"晚")</f>
        <v>晚</v>
      </c>
    </row>
    <row r="149" spans="1:8" x14ac:dyDescent="0.3">
      <c r="A149" s="2">
        <v>45075.291666666657</v>
      </c>
      <c r="B149">
        <v>26.37769645865087</v>
      </c>
      <c r="C149">
        <v>64.944688183917151</v>
      </c>
      <c r="D149">
        <v>155.88185709233849</v>
      </c>
      <c r="E149">
        <v>2.4047640232475511</v>
      </c>
      <c r="F149">
        <v>0.66458005916743812</v>
      </c>
      <c r="G149">
        <f t="shared" si="2"/>
        <v>7</v>
      </c>
      <c r="H149" t="str" cm="1">
        <f t="array" ref="H149">_xlfn.IFS(AND(G149&gt;=6,G149&lt;=12),"上",AND(G149&gt;=13,G149&lt;=18),"下",AND(G149&gt;=19,G149&lt;=24),"晚",AND(G149&lt;=5),"晚")</f>
        <v>上</v>
      </c>
    </row>
    <row r="150" spans="1:8" x14ac:dyDescent="0.3">
      <c r="A150" s="2">
        <v>45162.75</v>
      </c>
      <c r="B150">
        <v>23.883386011114009</v>
      </c>
      <c r="C150">
        <v>55.706791238458088</v>
      </c>
      <c r="D150">
        <v>851.54840426065948</v>
      </c>
      <c r="E150">
        <v>1.537106412118622</v>
      </c>
      <c r="F150">
        <v>0.48529884576223092</v>
      </c>
      <c r="G150">
        <f t="shared" si="2"/>
        <v>18</v>
      </c>
      <c r="H150" t="str" cm="1">
        <f t="array" ref="H150">_xlfn.IFS(AND(G150&gt;=6,G150&lt;=12),"上",AND(G150&gt;=13,G150&lt;=18),"下",AND(G150&gt;=19,G150&lt;=24),"晚",AND(G150&lt;=5),"晚")</f>
        <v>下</v>
      </c>
    </row>
    <row r="151" spans="1:8" x14ac:dyDescent="0.3">
      <c r="A151" s="2">
        <v>45237.083333333343</v>
      </c>
      <c r="B151">
        <v>26.883857553986221</v>
      </c>
      <c r="C151">
        <v>48.666322493237267</v>
      </c>
      <c r="D151">
        <v>297.74365718701881</v>
      </c>
      <c r="E151">
        <v>4.3375693094933938</v>
      </c>
      <c r="F151">
        <v>0.83532769116400429</v>
      </c>
      <c r="G151">
        <f t="shared" si="2"/>
        <v>2</v>
      </c>
      <c r="H151" t="str" cm="1">
        <f t="array" ref="H151">_xlfn.IFS(AND(G151&gt;=6,G151&lt;=12),"上",AND(G151&gt;=13,G151&lt;=18),"下",AND(G151&gt;=19,G151&lt;=24),"晚",AND(G151&lt;=5),"晚")</f>
        <v>晚</v>
      </c>
    </row>
    <row r="152" spans="1:8" x14ac:dyDescent="0.3">
      <c r="A152" s="2">
        <v>45139.375</v>
      </c>
      <c r="B152">
        <v>20.1555787690281</v>
      </c>
      <c r="C152">
        <v>62.159757761406382</v>
      </c>
      <c r="D152">
        <v>111.64624953666321</v>
      </c>
      <c r="E152">
        <v>3.2743613969441139</v>
      </c>
      <c r="F152">
        <v>1.502636213870967</v>
      </c>
      <c r="G152">
        <f t="shared" si="2"/>
        <v>9</v>
      </c>
      <c r="H152" t="str" cm="1">
        <f t="array" ref="H152">_xlfn.IFS(AND(G152&gt;=6,G152&lt;=12),"上",AND(G152&gt;=13,G152&lt;=18),"下",AND(G152&gt;=19,G152&lt;=24),"晚",AND(G152&lt;=5),"晚")</f>
        <v>上</v>
      </c>
    </row>
    <row r="153" spans="1:8" x14ac:dyDescent="0.3">
      <c r="A153" s="2">
        <v>45237.166666666657</v>
      </c>
      <c r="B153">
        <v>21.44712286781763</v>
      </c>
      <c r="C153">
        <v>38.246967968592699</v>
      </c>
      <c r="D153">
        <v>679.09319781126544</v>
      </c>
      <c r="E153">
        <v>1.9943295588055809</v>
      </c>
      <c r="F153">
        <v>0.59502814276866878</v>
      </c>
      <c r="G153">
        <f t="shared" si="2"/>
        <v>4</v>
      </c>
      <c r="H153" t="str" cm="1">
        <f t="array" ref="H153">_xlfn.IFS(AND(G153&gt;=6,G153&lt;=12),"上",AND(G153&gt;=13,G153&lt;=18),"下",AND(G153&gt;=19,G153&lt;=24),"晚",AND(G153&lt;=5),"晚")</f>
        <v>晚</v>
      </c>
    </row>
    <row r="154" spans="1:8" x14ac:dyDescent="0.3">
      <c r="A154" s="2">
        <v>45078.208333333343</v>
      </c>
      <c r="B154">
        <v>23.687144441173569</v>
      </c>
      <c r="C154">
        <v>41.691662957528351</v>
      </c>
      <c r="D154">
        <v>254.89478101095969</v>
      </c>
      <c r="E154">
        <v>4.2799302787249101</v>
      </c>
      <c r="F154">
        <v>0.43993867349085303</v>
      </c>
      <c r="G154">
        <f t="shared" si="2"/>
        <v>5</v>
      </c>
      <c r="H154" t="str" cm="1">
        <f t="array" ref="H154">_xlfn.IFS(AND(G154&gt;=6,G154&lt;=12),"上",AND(G154&gt;=13,G154&lt;=18),"下",AND(G154&gt;=19,G154&lt;=24),"晚",AND(G154&lt;=5),"晚")</f>
        <v>晚</v>
      </c>
    </row>
    <row r="155" spans="1:8" x14ac:dyDescent="0.3">
      <c r="A155" s="2">
        <v>45074</v>
      </c>
      <c r="B155">
        <v>28.322245014132779</v>
      </c>
      <c r="C155">
        <v>36.907731997821472</v>
      </c>
      <c r="D155">
        <v>155.5360055478161</v>
      </c>
      <c r="E155">
        <v>2.843542146953578</v>
      </c>
      <c r="F155">
        <v>1.699867783112575</v>
      </c>
      <c r="G155">
        <f t="shared" si="2"/>
        <v>0</v>
      </c>
      <c r="H155" t="str" cm="1">
        <f t="array" ref="H155">_xlfn.IFS(AND(G155&gt;=6,G155&lt;=12),"上",AND(G155&gt;=13,G155&lt;=18),"下",AND(G155&gt;=19,G155&lt;=24),"晚",AND(G155&lt;=5),"晚")</f>
        <v>晚</v>
      </c>
    </row>
    <row r="156" spans="1:8" x14ac:dyDescent="0.3">
      <c r="A156" s="2">
        <v>45140.416666666657</v>
      </c>
      <c r="B156">
        <v>23.043159063715759</v>
      </c>
      <c r="C156">
        <v>69.919272483784226</v>
      </c>
      <c r="D156">
        <v>940.39384305677345</v>
      </c>
      <c r="E156">
        <v>1.0435178848354469</v>
      </c>
      <c r="F156">
        <v>1.838686131498166</v>
      </c>
      <c r="G156">
        <f t="shared" si="2"/>
        <v>10</v>
      </c>
      <c r="H156" t="str" cm="1">
        <f t="array" ref="H156">_xlfn.IFS(AND(G156&gt;=6,G156&lt;=12),"上",AND(G156&gt;=13,G156&lt;=18),"下",AND(G156&gt;=19,G156&lt;=24),"晚",AND(G156&lt;=5),"晚")</f>
        <v>上</v>
      </c>
    </row>
    <row r="157" spans="1:8" x14ac:dyDescent="0.3">
      <c r="A157" s="2">
        <v>45236.458333333343</v>
      </c>
      <c r="B157">
        <v>20.578718917488761</v>
      </c>
      <c r="C157">
        <v>37.687251350571429</v>
      </c>
      <c r="D157">
        <v>233.63073891166491</v>
      </c>
      <c r="E157">
        <v>1.613187012441059</v>
      </c>
      <c r="F157">
        <v>0.94781153302599797</v>
      </c>
      <c r="G157">
        <f t="shared" si="2"/>
        <v>11</v>
      </c>
      <c r="H157" t="str" cm="1">
        <f t="array" ref="H157">_xlfn.IFS(AND(G157&gt;=6,G157&lt;=12),"上",AND(G157&gt;=13,G157&lt;=18),"下",AND(G157&gt;=19,G157&lt;=24),"晚",AND(G157&lt;=5),"晚")</f>
        <v>上</v>
      </c>
    </row>
    <row r="158" spans="1:8" x14ac:dyDescent="0.3">
      <c r="A158" s="2">
        <v>45087</v>
      </c>
      <c r="B158">
        <v>23.787352733338839</v>
      </c>
      <c r="C158">
        <v>58.03003674496879</v>
      </c>
      <c r="D158">
        <v>568.04439847531955</v>
      </c>
      <c r="E158">
        <v>2.6870250419516171</v>
      </c>
      <c r="F158">
        <v>0.56454576652610122</v>
      </c>
      <c r="G158">
        <f t="shared" si="2"/>
        <v>0</v>
      </c>
      <c r="H158" t="str" cm="1">
        <f t="array" ref="H158">_xlfn.IFS(AND(G158&gt;=6,G158&lt;=12),"上",AND(G158&gt;=13,G158&lt;=18),"下",AND(G158&gt;=19,G158&lt;=24),"晚",AND(G158&lt;=5),"晚")</f>
        <v>晚</v>
      </c>
    </row>
    <row r="159" spans="1:8" x14ac:dyDescent="0.3">
      <c r="A159" s="2">
        <v>45160.791666666657</v>
      </c>
      <c r="B159">
        <v>22.412541524818192</v>
      </c>
      <c r="C159">
        <v>48.482890788276151</v>
      </c>
      <c r="D159">
        <v>430.56936235780449</v>
      </c>
      <c r="E159">
        <v>1.310445436445159</v>
      </c>
      <c r="F159">
        <v>0.57949521342459953</v>
      </c>
      <c r="G159">
        <f t="shared" si="2"/>
        <v>19</v>
      </c>
      <c r="H159" t="str" cm="1">
        <f t="array" ref="H159">_xlfn.IFS(AND(G159&gt;=6,G159&lt;=12),"上",AND(G159&gt;=13,G159&lt;=18),"下",AND(G159&gt;=19,G159&lt;=24),"晚",AND(G159&lt;=5),"晚")</f>
        <v>晚</v>
      </c>
    </row>
    <row r="160" spans="1:8" x14ac:dyDescent="0.3">
      <c r="A160" s="2">
        <v>45267.333333333343</v>
      </c>
      <c r="B160">
        <v>20.560599380707529</v>
      </c>
      <c r="C160">
        <v>31.331811397099031</v>
      </c>
      <c r="D160">
        <v>140.26653804910319</v>
      </c>
      <c r="E160">
        <v>3.5733979712503432</v>
      </c>
      <c r="F160">
        <v>0.8907417867065982</v>
      </c>
      <c r="G160">
        <f t="shared" si="2"/>
        <v>8</v>
      </c>
      <c r="H160" t="str" cm="1">
        <f t="array" ref="H160">_xlfn.IFS(AND(G160&gt;=6,G160&lt;=12),"上",AND(G160&gt;=13,G160&lt;=18),"下",AND(G160&gt;=19,G160&lt;=24),"晚",AND(G160&lt;=5),"晚")</f>
        <v>上</v>
      </c>
    </row>
    <row r="161" spans="1:8" x14ac:dyDescent="0.3">
      <c r="A161" s="2">
        <v>44971.75</v>
      </c>
      <c r="B161">
        <v>23.98924257547252</v>
      </c>
      <c r="C161">
        <v>33.250541465535392</v>
      </c>
      <c r="D161">
        <v>382.91839188566348</v>
      </c>
      <c r="E161">
        <v>1.7893054444495231</v>
      </c>
      <c r="F161">
        <v>1.624641581381943</v>
      </c>
      <c r="G161">
        <f t="shared" si="2"/>
        <v>18</v>
      </c>
      <c r="H161" t="str" cm="1">
        <f t="array" ref="H161">_xlfn.IFS(AND(G161&gt;=6,G161&lt;=12),"上",AND(G161&gt;=13,G161&lt;=18),"下",AND(G161&gt;=19,G161&lt;=24),"晚",AND(G161&lt;=5),"晚")</f>
        <v>下</v>
      </c>
    </row>
    <row r="162" spans="1:8" x14ac:dyDescent="0.3">
      <c r="A162" s="2">
        <v>44988.375</v>
      </c>
      <c r="B162">
        <v>23.514213919401019</v>
      </c>
      <c r="C162">
        <v>67.177134578278981</v>
      </c>
      <c r="D162">
        <v>415.42334798994222</v>
      </c>
      <c r="E162">
        <v>3.376443758054485</v>
      </c>
      <c r="F162">
        <v>1.1668151935903031</v>
      </c>
      <c r="G162">
        <f t="shared" si="2"/>
        <v>9</v>
      </c>
      <c r="H162" t="str" cm="1">
        <f t="array" ref="H162">_xlfn.IFS(AND(G162&gt;=6,G162&lt;=12),"上",AND(G162&gt;=13,G162&lt;=18),"下",AND(G162&gt;=19,G162&lt;=24),"晚",AND(G162&lt;=5),"晚")</f>
        <v>上</v>
      </c>
    </row>
    <row r="163" spans="1:8" x14ac:dyDescent="0.3">
      <c r="A163" s="2">
        <v>45291.458333333343</v>
      </c>
      <c r="B163">
        <v>27.338399809392111</v>
      </c>
      <c r="C163">
        <v>59.781707503393193</v>
      </c>
      <c r="D163">
        <v>544.09391828075695</v>
      </c>
      <c r="E163">
        <v>1.037669471003339</v>
      </c>
      <c r="F163">
        <v>1.196938299032968</v>
      </c>
      <c r="G163">
        <f t="shared" si="2"/>
        <v>11</v>
      </c>
      <c r="H163" t="str" cm="1">
        <f t="array" ref="H163">_xlfn.IFS(AND(G163&gt;=6,G163&lt;=12),"上",AND(G163&gt;=13,G163&lt;=18),"下",AND(G163&gt;=19,G163&lt;=24),"晚",AND(G163&lt;=5),"晚")</f>
        <v>上</v>
      </c>
    </row>
    <row r="164" spans="1:8" x14ac:dyDescent="0.3">
      <c r="A164" s="2">
        <v>45053.833333333343</v>
      </c>
      <c r="B164">
        <v>20.63204821216916</v>
      </c>
      <c r="C164">
        <v>51.840391396265353</v>
      </c>
      <c r="D164">
        <v>736.06111705054298</v>
      </c>
      <c r="E164">
        <v>1.579202673690123</v>
      </c>
      <c r="F164">
        <v>1.9584988997117949</v>
      </c>
      <c r="G164">
        <f t="shared" si="2"/>
        <v>20</v>
      </c>
      <c r="H164" t="str" cm="1">
        <f t="array" ref="H164">_xlfn.IFS(AND(G164&gt;=6,G164&lt;=12),"上",AND(G164&gt;=13,G164&lt;=18),"下",AND(G164&gt;=19,G164&lt;=24),"晚",AND(G164&lt;=5),"晚")</f>
        <v>晚</v>
      </c>
    </row>
    <row r="165" spans="1:8" x14ac:dyDescent="0.3">
      <c r="A165" s="2">
        <v>45037.458333333343</v>
      </c>
      <c r="B165">
        <v>23.790544462239112</v>
      </c>
      <c r="C165">
        <v>38.378592101150559</v>
      </c>
      <c r="D165">
        <v>999.98015660265048</v>
      </c>
      <c r="E165">
        <v>2.3037250404976359</v>
      </c>
      <c r="F165">
        <v>0.24758287403771659</v>
      </c>
      <c r="G165">
        <f t="shared" si="2"/>
        <v>11</v>
      </c>
      <c r="H165" t="str" cm="1">
        <f t="array" ref="H165">_xlfn.IFS(AND(G165&gt;=6,G165&lt;=12),"上",AND(G165&gt;=13,G165&lt;=18),"下",AND(G165&gt;=19,G165&lt;=24),"晚",AND(G165&lt;=5),"晚")</f>
        <v>上</v>
      </c>
    </row>
    <row r="166" spans="1:8" x14ac:dyDescent="0.3">
      <c r="A166" s="2">
        <v>45077</v>
      </c>
      <c r="B166">
        <v>23.424335228146472</v>
      </c>
      <c r="C166">
        <v>30.254245578033839</v>
      </c>
      <c r="D166">
        <v>566.71414304378368</v>
      </c>
      <c r="E166">
        <v>1.350727847294233</v>
      </c>
      <c r="F166">
        <v>1.0025254472906879</v>
      </c>
      <c r="G166">
        <f t="shared" si="2"/>
        <v>0</v>
      </c>
      <c r="H166" t="str" cm="1">
        <f t="array" ref="H166">_xlfn.IFS(AND(G166&gt;=6,G166&lt;=12),"上",AND(G166&gt;=13,G166&lt;=18),"下",AND(G166&gt;=19,G166&lt;=24),"晚",AND(G166&lt;=5),"晚")</f>
        <v>晚</v>
      </c>
    </row>
    <row r="167" spans="1:8" x14ac:dyDescent="0.3">
      <c r="A167" s="2">
        <v>45016.333333333343</v>
      </c>
      <c r="B167">
        <v>26.468215249343469</v>
      </c>
      <c r="C167">
        <v>60.905996688470218</v>
      </c>
      <c r="D167">
        <v>948.47780530883733</v>
      </c>
      <c r="E167">
        <v>4.9341287832811949</v>
      </c>
      <c r="F167">
        <v>1.0108643607196039</v>
      </c>
      <c r="G167">
        <f t="shared" si="2"/>
        <v>8</v>
      </c>
      <c r="H167" t="str" cm="1">
        <f t="array" ref="H167">_xlfn.IFS(AND(G167&gt;=6,G167&lt;=12),"上",AND(G167&gt;=13,G167&lt;=18),"下",AND(G167&gt;=19,G167&lt;=24),"晚",AND(G167&lt;=5),"晚")</f>
        <v>上</v>
      </c>
    </row>
    <row r="168" spans="1:8" x14ac:dyDescent="0.3">
      <c r="A168" s="2">
        <v>44946.791666666657</v>
      </c>
      <c r="B168">
        <v>28.879207710432819</v>
      </c>
      <c r="C168">
        <v>42.491944683032571</v>
      </c>
      <c r="D168">
        <v>574.70587607332538</v>
      </c>
      <c r="E168">
        <v>1.9280690861122329</v>
      </c>
      <c r="F168">
        <v>1.1525505539606711</v>
      </c>
      <c r="G168">
        <f t="shared" si="2"/>
        <v>19</v>
      </c>
      <c r="H168" t="str" cm="1">
        <f t="array" ref="H168">_xlfn.IFS(AND(G168&gt;=6,G168&lt;=12),"上",AND(G168&gt;=13,G168&lt;=18),"下",AND(G168&gt;=19,G168&lt;=24),"晚",AND(G168&lt;=5),"晚")</f>
        <v>晚</v>
      </c>
    </row>
    <row r="169" spans="1:8" x14ac:dyDescent="0.3">
      <c r="A169" s="2">
        <v>45057.833333333343</v>
      </c>
      <c r="B169">
        <v>21.429897901276611</v>
      </c>
      <c r="C169">
        <v>38.561623186803757</v>
      </c>
      <c r="D169">
        <v>634.31408582450661</v>
      </c>
      <c r="E169">
        <v>4.5947405344093681</v>
      </c>
      <c r="F169">
        <v>0.41908645098943648</v>
      </c>
      <c r="G169">
        <f t="shared" si="2"/>
        <v>20</v>
      </c>
      <c r="H169" t="str" cm="1">
        <f t="array" ref="H169">_xlfn.IFS(AND(G169&gt;=6,G169&lt;=12),"上",AND(G169&gt;=13,G169&lt;=18),"下",AND(G169&gt;=19,G169&lt;=24),"晚",AND(G169&lt;=5),"晚")</f>
        <v>晚</v>
      </c>
    </row>
    <row r="170" spans="1:8" x14ac:dyDescent="0.3">
      <c r="A170" s="2">
        <v>45097.625</v>
      </c>
      <c r="B170">
        <v>28.162537513998242</v>
      </c>
      <c r="C170">
        <v>36.892461084865168</v>
      </c>
      <c r="D170">
        <v>225.16032623414631</v>
      </c>
      <c r="E170">
        <v>3.7454729743304882</v>
      </c>
      <c r="F170">
        <v>0.42095208195813483</v>
      </c>
      <c r="G170">
        <f t="shared" si="2"/>
        <v>15</v>
      </c>
      <c r="H170" t="str" cm="1">
        <f t="array" ref="H170">_xlfn.IFS(AND(G170&gt;=6,G170&lt;=12),"上",AND(G170&gt;=13,G170&lt;=18),"下",AND(G170&gt;=19,G170&lt;=24),"晚",AND(G170&lt;=5),"晚")</f>
        <v>下</v>
      </c>
    </row>
    <row r="171" spans="1:8" x14ac:dyDescent="0.3">
      <c r="A171" s="2">
        <v>44938.416666666657</v>
      </c>
      <c r="B171">
        <v>26.097234027512659</v>
      </c>
      <c r="C171">
        <v>62.351855391257338</v>
      </c>
      <c r="D171">
        <v>613.7432176574556</v>
      </c>
      <c r="E171">
        <v>4.8342644430178137</v>
      </c>
      <c r="F171">
        <v>0.88935226580654558</v>
      </c>
      <c r="G171">
        <f t="shared" si="2"/>
        <v>10</v>
      </c>
      <c r="H171" t="str" cm="1">
        <f t="array" ref="H171">_xlfn.IFS(AND(G171&gt;=6,G171&lt;=12),"上",AND(G171&gt;=13,G171&lt;=18),"下",AND(G171&gt;=19,G171&lt;=24),"晚",AND(G171&lt;=5),"晚")</f>
        <v>上</v>
      </c>
    </row>
    <row r="172" spans="1:8" x14ac:dyDescent="0.3">
      <c r="A172" s="2">
        <v>45211.666666666657</v>
      </c>
      <c r="B172">
        <v>20.292426940139759</v>
      </c>
      <c r="C172">
        <v>54.825316247520213</v>
      </c>
      <c r="D172">
        <v>334.50581586909419</v>
      </c>
      <c r="E172">
        <v>4.6419824758500692</v>
      </c>
      <c r="F172">
        <v>1.251812786953806</v>
      </c>
      <c r="G172">
        <f t="shared" si="2"/>
        <v>16</v>
      </c>
      <c r="H172" t="str" cm="1">
        <f t="array" ref="H172">_xlfn.IFS(AND(G172&gt;=6,G172&lt;=12),"上",AND(G172&gt;=13,G172&lt;=18),"下",AND(G172&gt;=19,G172&lt;=24),"晚",AND(G172&lt;=5),"晚")</f>
        <v>下</v>
      </c>
    </row>
    <row r="173" spans="1:8" x14ac:dyDescent="0.3">
      <c r="A173" s="2">
        <v>45075.666666666657</v>
      </c>
      <c r="B173">
        <v>27.668886791662441</v>
      </c>
      <c r="C173">
        <v>55.652031122438473</v>
      </c>
      <c r="D173">
        <v>346.64358411298889</v>
      </c>
      <c r="E173">
        <v>4.5146444803890082</v>
      </c>
      <c r="F173">
        <v>0.67532479756478025</v>
      </c>
      <c r="G173">
        <f t="shared" si="2"/>
        <v>16</v>
      </c>
      <c r="H173" t="str" cm="1">
        <f t="array" ref="H173">_xlfn.IFS(AND(G173&gt;=6,G173&lt;=12),"上",AND(G173&gt;=13,G173&lt;=18),"下",AND(G173&gt;=19,G173&lt;=24),"晚",AND(G173&lt;=5),"晚")</f>
        <v>下</v>
      </c>
    </row>
    <row r="174" spans="1:8" x14ac:dyDescent="0.3">
      <c r="A174" s="2">
        <v>45231.166666666657</v>
      </c>
      <c r="B174">
        <v>25.376880330339262</v>
      </c>
      <c r="C174">
        <v>67.01749037950475</v>
      </c>
      <c r="D174">
        <v>490.48989054904263</v>
      </c>
      <c r="E174">
        <v>3.3110929468173871</v>
      </c>
      <c r="F174">
        <v>1.0452864878212209</v>
      </c>
      <c r="G174">
        <f t="shared" si="2"/>
        <v>4</v>
      </c>
      <c r="H174" t="str" cm="1">
        <f t="array" ref="H174">_xlfn.IFS(AND(G174&gt;=6,G174&lt;=12),"上",AND(G174&gt;=13,G174&lt;=18),"下",AND(G174&gt;=19,G174&lt;=24),"晚",AND(G174&lt;=5),"晚")</f>
        <v>晚</v>
      </c>
    </row>
    <row r="175" spans="1:8" x14ac:dyDescent="0.3">
      <c r="A175" s="2">
        <v>45082.583333333343</v>
      </c>
      <c r="B175">
        <v>27.99928824580125</v>
      </c>
      <c r="C175">
        <v>65.671961743177775</v>
      </c>
      <c r="D175">
        <v>688.36444110467255</v>
      </c>
      <c r="E175">
        <v>4.8585696561340859</v>
      </c>
      <c r="F175">
        <v>1.9748388212306101</v>
      </c>
      <c r="G175">
        <f t="shared" si="2"/>
        <v>14</v>
      </c>
      <c r="H175" t="str" cm="1">
        <f t="array" ref="H175">_xlfn.IFS(AND(G175&gt;=6,G175&lt;=12),"上",AND(G175&gt;=13,G175&lt;=18),"下",AND(G175&gt;=19,G175&lt;=24),"晚",AND(G175&lt;=5),"晚")</f>
        <v>下</v>
      </c>
    </row>
    <row r="176" spans="1:8" x14ac:dyDescent="0.3">
      <c r="A176" s="2">
        <v>45014.375</v>
      </c>
      <c r="B176">
        <v>24.088680328694469</v>
      </c>
      <c r="C176">
        <v>57.218449394293359</v>
      </c>
      <c r="D176">
        <v>655.59674765767966</v>
      </c>
      <c r="E176">
        <v>1.7232803308786171</v>
      </c>
      <c r="F176">
        <v>0.15781893304067129</v>
      </c>
      <c r="G176">
        <f t="shared" si="2"/>
        <v>9</v>
      </c>
      <c r="H176" t="str" cm="1">
        <f t="array" ref="H176">_xlfn.IFS(AND(G176&gt;=6,G176&lt;=12),"上",AND(G176&gt;=13,G176&lt;=18),"下",AND(G176&gt;=19,G176&lt;=24),"晚",AND(G176&lt;=5),"晚")</f>
        <v>上</v>
      </c>
    </row>
    <row r="177" spans="1:8" x14ac:dyDescent="0.3">
      <c r="A177" s="2">
        <v>45263.083333333343</v>
      </c>
      <c r="B177">
        <v>26.655027937880519</v>
      </c>
      <c r="C177">
        <v>68.44107749437913</v>
      </c>
      <c r="D177">
        <v>375.64808423094593</v>
      </c>
      <c r="E177">
        <v>2.8167689888595282</v>
      </c>
      <c r="F177">
        <v>0.9851478430684526</v>
      </c>
      <c r="G177">
        <f t="shared" si="2"/>
        <v>2</v>
      </c>
      <c r="H177" t="str" cm="1">
        <f t="array" ref="H177">_xlfn.IFS(AND(G177&gt;=6,G177&lt;=12),"上",AND(G177&gt;=13,G177&lt;=18),"下",AND(G177&gt;=19,G177&lt;=24),"晚",AND(G177&lt;=5),"晚")</f>
        <v>晚</v>
      </c>
    </row>
    <row r="178" spans="1:8" x14ac:dyDescent="0.3">
      <c r="A178" s="2">
        <v>45061.625</v>
      </c>
      <c r="B178">
        <v>21.988042053855381</v>
      </c>
      <c r="C178">
        <v>39.158440324652787</v>
      </c>
      <c r="D178">
        <v>125.8764597436268</v>
      </c>
      <c r="E178">
        <v>4.1245060176188266</v>
      </c>
      <c r="F178">
        <v>1.0004189249509119</v>
      </c>
      <c r="G178">
        <f t="shared" si="2"/>
        <v>15</v>
      </c>
      <c r="H178" t="str" cm="1">
        <f t="array" ref="H178">_xlfn.IFS(AND(G178&gt;=6,G178&lt;=12),"上",AND(G178&gt;=13,G178&lt;=18),"下",AND(G178&gt;=19,G178&lt;=24),"晚",AND(G178&lt;=5),"晚")</f>
        <v>下</v>
      </c>
    </row>
    <row r="179" spans="1:8" x14ac:dyDescent="0.3">
      <c r="A179" s="2">
        <v>45232.416666666657</v>
      </c>
      <c r="B179">
        <v>21.91844574747989</v>
      </c>
      <c r="C179">
        <v>30.784089322477261</v>
      </c>
      <c r="D179">
        <v>319.64192211130859</v>
      </c>
      <c r="E179">
        <v>2.934047390429968</v>
      </c>
      <c r="F179">
        <v>1.414432138569037</v>
      </c>
      <c r="G179">
        <f t="shared" si="2"/>
        <v>10</v>
      </c>
      <c r="H179" t="str" cm="1">
        <f t="array" ref="H179">_xlfn.IFS(AND(G179&gt;=6,G179&lt;=12),"上",AND(G179&gt;=13,G179&lt;=18),"下",AND(G179&gt;=19,G179&lt;=24),"晚",AND(G179&lt;=5),"晚")</f>
        <v>上</v>
      </c>
    </row>
    <row r="180" spans="1:8" x14ac:dyDescent="0.3">
      <c r="A180" s="2">
        <v>45083.5</v>
      </c>
      <c r="B180">
        <v>23.40262408125615</v>
      </c>
      <c r="C180">
        <v>66.868271117110055</v>
      </c>
      <c r="D180">
        <v>507.54794305346138</v>
      </c>
      <c r="E180">
        <v>4.9776895662847149</v>
      </c>
      <c r="F180">
        <v>0.60616021904609108</v>
      </c>
      <c r="G180">
        <f t="shared" si="2"/>
        <v>12</v>
      </c>
      <c r="H180" t="str" cm="1">
        <f t="array" ref="H180">_xlfn.IFS(AND(G180&gt;=6,G180&lt;=12),"上",AND(G180&gt;=13,G180&lt;=18),"下",AND(G180&gt;=19,G180&lt;=24),"晚",AND(G180&lt;=5),"晚")</f>
        <v>上</v>
      </c>
    </row>
    <row r="181" spans="1:8" x14ac:dyDescent="0.3">
      <c r="A181" s="2">
        <v>45241.083333333343</v>
      </c>
      <c r="B181">
        <v>25.194405063277149</v>
      </c>
      <c r="C181">
        <v>40.573119030003262</v>
      </c>
      <c r="D181">
        <v>918.5638842930415</v>
      </c>
      <c r="E181">
        <v>3.932592999325951</v>
      </c>
      <c r="F181">
        <v>1.6198747281916881</v>
      </c>
      <c r="G181">
        <f t="shared" si="2"/>
        <v>2</v>
      </c>
      <c r="H181" t="str" cm="1">
        <f t="array" ref="H181">_xlfn.IFS(AND(G181&gt;=6,G181&lt;=12),"上",AND(G181&gt;=13,G181&lt;=18),"下",AND(G181&gt;=19,G181&lt;=24),"晚",AND(G181&lt;=5),"晚")</f>
        <v>晚</v>
      </c>
    </row>
    <row r="182" spans="1:8" x14ac:dyDescent="0.3">
      <c r="A182" s="2">
        <v>45067.916666666657</v>
      </c>
      <c r="B182">
        <v>27.165267905793272</v>
      </c>
      <c r="C182">
        <v>68.924118686897685</v>
      </c>
      <c r="D182">
        <v>649.32656412419624</v>
      </c>
      <c r="E182">
        <v>1.825421777615954</v>
      </c>
      <c r="F182">
        <v>0.86188749805032283</v>
      </c>
      <c r="G182">
        <f t="shared" si="2"/>
        <v>22</v>
      </c>
      <c r="H182" t="str" cm="1">
        <f t="array" ref="H182">_xlfn.IFS(AND(G182&gt;=6,G182&lt;=12),"上",AND(G182&gt;=13,G182&lt;=18),"下",AND(G182&gt;=19,G182&lt;=24),"晚",AND(G182&lt;=5),"晚")</f>
        <v>晚</v>
      </c>
    </row>
    <row r="183" spans="1:8" x14ac:dyDescent="0.3">
      <c r="A183" s="2">
        <v>45073.166666666657</v>
      </c>
      <c r="B183">
        <v>26.668048227723279</v>
      </c>
      <c r="C183">
        <v>38.961562354166688</v>
      </c>
      <c r="D183">
        <v>889.7571321888322</v>
      </c>
      <c r="E183">
        <v>4.2455825766158082</v>
      </c>
      <c r="F183">
        <v>0.28080854597576949</v>
      </c>
      <c r="G183">
        <f t="shared" si="2"/>
        <v>4</v>
      </c>
      <c r="H183" t="str" cm="1">
        <f t="array" ref="H183">_xlfn.IFS(AND(G183&gt;=6,G183&lt;=12),"上",AND(G183&gt;=13,G183&lt;=18),"下",AND(G183&gt;=19,G183&lt;=24),"晚",AND(G183&lt;=5),"晚")</f>
        <v>晚</v>
      </c>
    </row>
    <row r="184" spans="1:8" x14ac:dyDescent="0.3">
      <c r="A184" s="2">
        <v>45265.291666666657</v>
      </c>
      <c r="B184">
        <v>28.21344563168352</v>
      </c>
      <c r="C184">
        <v>41.138383815613352</v>
      </c>
      <c r="D184">
        <v>634.62469884417658</v>
      </c>
      <c r="E184">
        <v>4.5498473942600999</v>
      </c>
      <c r="F184">
        <v>1.2971149482177211</v>
      </c>
      <c r="G184">
        <f t="shared" si="2"/>
        <v>7</v>
      </c>
      <c r="H184" t="str" cm="1">
        <f t="array" ref="H184">_xlfn.IFS(AND(G184&gt;=6,G184&lt;=12),"上",AND(G184&gt;=13,G184&lt;=18),"下",AND(G184&gt;=19,G184&lt;=24),"晚",AND(G184&lt;=5),"晚")</f>
        <v>上</v>
      </c>
    </row>
    <row r="185" spans="1:8" x14ac:dyDescent="0.3">
      <c r="A185" s="2">
        <v>45290.916666666657</v>
      </c>
      <c r="B185">
        <v>24.26396915783079</v>
      </c>
      <c r="C185">
        <v>66.377992911001542</v>
      </c>
      <c r="D185">
        <v>498.8506924008459</v>
      </c>
      <c r="E185">
        <v>3.1576686515344941</v>
      </c>
      <c r="F185">
        <v>0.1501469743590684</v>
      </c>
      <c r="G185">
        <f t="shared" si="2"/>
        <v>22</v>
      </c>
      <c r="H185" t="str" cm="1">
        <f t="array" ref="H185">_xlfn.IFS(AND(G185&gt;=6,G185&lt;=12),"上",AND(G185&gt;=13,G185&lt;=18),"下",AND(G185&gt;=19,G185&lt;=24),"晚",AND(G185&lt;=5),"晚")</f>
        <v>晚</v>
      </c>
    </row>
    <row r="186" spans="1:8" x14ac:dyDescent="0.3">
      <c r="A186" s="2">
        <v>45176.458333333343</v>
      </c>
      <c r="B186">
        <v>29.12529254445835</v>
      </c>
      <c r="C186">
        <v>62.506206310699703</v>
      </c>
      <c r="D186">
        <v>395.72362789270949</v>
      </c>
      <c r="E186">
        <v>4.9621607571763633</v>
      </c>
      <c r="F186">
        <v>1.46192416789399</v>
      </c>
      <c r="G186">
        <f t="shared" si="2"/>
        <v>11</v>
      </c>
      <c r="H186" t="str" cm="1">
        <f t="array" ref="H186">_xlfn.IFS(AND(G186&gt;=6,G186&lt;=12),"上",AND(G186&gt;=13,G186&lt;=18),"下",AND(G186&gt;=19,G186&lt;=24),"晚",AND(G186&lt;=5),"晚")</f>
        <v>上</v>
      </c>
    </row>
    <row r="187" spans="1:8" x14ac:dyDescent="0.3">
      <c r="A187" s="2">
        <v>45038.583333333343</v>
      </c>
      <c r="B187">
        <v>21.091677241002252</v>
      </c>
      <c r="C187">
        <v>33.895649034637991</v>
      </c>
      <c r="D187">
        <v>973.08389072983402</v>
      </c>
      <c r="E187">
        <v>3.143613875189939</v>
      </c>
      <c r="F187">
        <v>0.12306656574506</v>
      </c>
      <c r="G187">
        <f t="shared" si="2"/>
        <v>14</v>
      </c>
      <c r="H187" t="str" cm="1">
        <f t="array" ref="H187">_xlfn.IFS(AND(G187&gt;=6,G187&lt;=12),"上",AND(G187&gt;=13,G187&lt;=18),"下",AND(G187&gt;=19,G187&lt;=24),"晚",AND(G187&lt;=5),"晚")</f>
        <v>下</v>
      </c>
    </row>
    <row r="188" spans="1:8" x14ac:dyDescent="0.3">
      <c r="A188" s="2">
        <v>45027.75</v>
      </c>
      <c r="B188">
        <v>21.87203308804407</v>
      </c>
      <c r="C188">
        <v>53.01884994110241</v>
      </c>
      <c r="D188">
        <v>530.42383859787947</v>
      </c>
      <c r="E188">
        <v>4.0925241125856733</v>
      </c>
      <c r="F188">
        <v>1.2336733844836041</v>
      </c>
      <c r="G188">
        <f t="shared" si="2"/>
        <v>18</v>
      </c>
      <c r="H188" t="str" cm="1">
        <f t="array" ref="H188">_xlfn.IFS(AND(G188&gt;=6,G188&lt;=12),"上",AND(G188&gt;=13,G188&lt;=18),"下",AND(G188&gt;=19,G188&lt;=24),"晚",AND(G188&lt;=5),"晚")</f>
        <v>下</v>
      </c>
    </row>
    <row r="189" spans="1:8" x14ac:dyDescent="0.3">
      <c r="A189" s="2">
        <v>45267.041666666657</v>
      </c>
      <c r="B189">
        <v>26.83717575289948</v>
      </c>
      <c r="C189">
        <v>36.310064248939923</v>
      </c>
      <c r="D189">
        <v>423.32201931417211</v>
      </c>
      <c r="E189">
        <v>2.2961145454056089</v>
      </c>
      <c r="F189">
        <v>1.754694761025035</v>
      </c>
      <c r="G189">
        <f t="shared" si="2"/>
        <v>1</v>
      </c>
      <c r="H189" t="str" cm="1">
        <f t="array" ref="H189">_xlfn.IFS(AND(G189&gt;=6,G189&lt;=12),"上",AND(G189&gt;=13,G189&lt;=18),"下",AND(G189&gt;=19,G189&lt;=24),"晚",AND(G189&lt;=5),"晚")</f>
        <v>晚</v>
      </c>
    </row>
    <row r="190" spans="1:8" x14ac:dyDescent="0.3">
      <c r="A190" s="2">
        <v>45261.458333333343</v>
      </c>
      <c r="B190">
        <v>22.537726800621741</v>
      </c>
      <c r="C190">
        <v>32.866863010983799</v>
      </c>
      <c r="D190">
        <v>916.95537791538516</v>
      </c>
      <c r="E190">
        <v>1.955319804610967</v>
      </c>
      <c r="F190">
        <v>1.4269760117976931</v>
      </c>
      <c r="G190">
        <f t="shared" si="2"/>
        <v>11</v>
      </c>
      <c r="H190" t="str" cm="1">
        <f t="array" ref="H190">_xlfn.IFS(AND(G190&gt;=6,G190&lt;=12),"上",AND(G190&gt;=13,G190&lt;=18),"下",AND(G190&gt;=19,G190&lt;=24),"晚",AND(G190&lt;=5),"晚")</f>
        <v>上</v>
      </c>
    </row>
    <row r="191" spans="1:8" x14ac:dyDescent="0.3">
      <c r="A191" s="2">
        <v>45267.666666666657</v>
      </c>
      <c r="B191">
        <v>21.645905462034211</v>
      </c>
      <c r="C191">
        <v>54.495273152186108</v>
      </c>
      <c r="D191">
        <v>830.67792320216381</v>
      </c>
      <c r="E191">
        <v>4.1350419032203138</v>
      </c>
      <c r="F191">
        <v>1.2862531340041361</v>
      </c>
      <c r="G191">
        <f t="shared" si="2"/>
        <v>16</v>
      </c>
      <c r="H191" t="str" cm="1">
        <f t="array" ref="H191">_xlfn.IFS(AND(G191&gt;=6,G191&lt;=12),"上",AND(G191&gt;=13,G191&lt;=18),"下",AND(G191&gt;=19,G191&lt;=24),"晚",AND(G191&lt;=5),"晚")</f>
        <v>下</v>
      </c>
    </row>
    <row r="192" spans="1:8" x14ac:dyDescent="0.3">
      <c r="A192" s="2">
        <v>45109.208333333343</v>
      </c>
      <c r="B192">
        <v>28.864937449328568</v>
      </c>
      <c r="C192">
        <v>33.122100813996937</v>
      </c>
      <c r="D192">
        <v>629.86552435997248</v>
      </c>
      <c r="E192">
        <v>1.771882231470824</v>
      </c>
      <c r="F192">
        <v>0.92040313804595197</v>
      </c>
      <c r="G192">
        <f t="shared" si="2"/>
        <v>5</v>
      </c>
      <c r="H192" t="str" cm="1">
        <f t="array" ref="H192">_xlfn.IFS(AND(G192&gt;=6,G192&lt;=12),"上",AND(G192&gt;=13,G192&lt;=18),"下",AND(G192&gt;=19,G192&lt;=24),"晚",AND(G192&lt;=5),"晚")</f>
        <v>晚</v>
      </c>
    </row>
    <row r="193" spans="1:8" x14ac:dyDescent="0.3">
      <c r="A193" s="2">
        <v>45028</v>
      </c>
      <c r="B193">
        <v>20.684008464821609</v>
      </c>
      <c r="C193">
        <v>48.875799434241628</v>
      </c>
      <c r="D193">
        <v>609.45781094401525</v>
      </c>
      <c r="E193">
        <v>2.1357194800318502</v>
      </c>
      <c r="F193">
        <v>0.73877148212283927</v>
      </c>
      <c r="G193">
        <f t="shared" si="2"/>
        <v>0</v>
      </c>
      <c r="H193" t="str" cm="1">
        <f t="array" ref="H193">_xlfn.IFS(AND(G193&gt;=6,G193&lt;=12),"上",AND(G193&gt;=13,G193&lt;=18),"下",AND(G193&gt;=19,G193&lt;=24),"晚",AND(G193&lt;=5),"晚")</f>
        <v>晚</v>
      </c>
    </row>
    <row r="194" spans="1:8" x14ac:dyDescent="0.3">
      <c r="A194" s="2">
        <v>45175.916666666657</v>
      </c>
      <c r="B194">
        <v>29.914711074357118</v>
      </c>
      <c r="C194">
        <v>54.580510450415048</v>
      </c>
      <c r="D194">
        <v>547.6155566206711</v>
      </c>
      <c r="E194">
        <v>2.472861337072974</v>
      </c>
      <c r="F194">
        <v>0.8035614897939406</v>
      </c>
      <c r="G194">
        <f t="shared" si="2"/>
        <v>22</v>
      </c>
      <c r="H194" t="str" cm="1">
        <f t="array" ref="H194">_xlfn.IFS(AND(G194&gt;=6,G194&lt;=12),"上",AND(G194&gt;=13,G194&lt;=18),"下",AND(G194&gt;=19,G194&lt;=24),"晚",AND(G194&lt;=5),"晚")</f>
        <v>晚</v>
      </c>
    </row>
    <row r="195" spans="1:8" x14ac:dyDescent="0.3">
      <c r="A195" s="2">
        <v>45219</v>
      </c>
      <c r="B195">
        <v>28.625893113701071</v>
      </c>
      <c r="C195">
        <v>67.5641068678392</v>
      </c>
      <c r="D195">
        <v>186.68588702125501</v>
      </c>
      <c r="E195">
        <v>3.498028556938559</v>
      </c>
      <c r="F195">
        <v>0.81255019796531525</v>
      </c>
      <c r="G195">
        <f t="shared" ref="G195:G258" si="3">HOUR(A195)</f>
        <v>0</v>
      </c>
      <c r="H195" t="str" cm="1">
        <f t="array" ref="H195">_xlfn.IFS(AND(G195&gt;=6,G195&lt;=12),"上",AND(G195&gt;=13,G195&lt;=18),"下",AND(G195&gt;=19,G195&lt;=24),"晚",AND(G195&lt;=5),"晚")</f>
        <v>晚</v>
      </c>
    </row>
    <row r="196" spans="1:8" x14ac:dyDescent="0.3">
      <c r="A196" s="2">
        <v>44984.166666666657</v>
      </c>
      <c r="B196">
        <v>28.682577473523029</v>
      </c>
      <c r="C196">
        <v>66.850887963835845</v>
      </c>
      <c r="D196">
        <v>718.747493199264</v>
      </c>
      <c r="E196">
        <v>2.3689451454528658</v>
      </c>
      <c r="F196">
        <v>1.106778895916245</v>
      </c>
      <c r="G196">
        <f t="shared" si="3"/>
        <v>4</v>
      </c>
      <c r="H196" t="str" cm="1">
        <f t="array" ref="H196">_xlfn.IFS(AND(G196&gt;=6,G196&lt;=12),"上",AND(G196&gt;=13,G196&lt;=18),"下",AND(G196&gt;=19,G196&lt;=24),"晚",AND(G196&lt;=5),"晚")</f>
        <v>晚</v>
      </c>
    </row>
    <row r="197" spans="1:8" x14ac:dyDescent="0.3">
      <c r="A197" s="2">
        <v>45229.583333333343</v>
      </c>
      <c r="B197">
        <v>26.287130625457749</v>
      </c>
      <c r="C197">
        <v>54.298298179536388</v>
      </c>
      <c r="D197">
        <v>437.98018342731291</v>
      </c>
      <c r="E197">
        <v>2.2837010563722702</v>
      </c>
      <c r="F197">
        <v>0.37232715402733901</v>
      </c>
      <c r="G197">
        <f t="shared" si="3"/>
        <v>14</v>
      </c>
      <c r="H197" t="str" cm="1">
        <f t="array" ref="H197">_xlfn.IFS(AND(G197&gt;=6,G197&lt;=12),"上",AND(G197&gt;=13,G197&lt;=18),"下",AND(G197&gt;=19,G197&lt;=24),"晚",AND(G197&lt;=5),"晚")</f>
        <v>下</v>
      </c>
    </row>
    <row r="198" spans="1:8" x14ac:dyDescent="0.3">
      <c r="A198" s="2">
        <v>45109.708333333343</v>
      </c>
      <c r="B198">
        <v>22.248556798349441</v>
      </c>
      <c r="C198">
        <v>50.108500764421073</v>
      </c>
      <c r="D198">
        <v>115.32004874672261</v>
      </c>
      <c r="E198">
        <v>2.7722573304756399</v>
      </c>
      <c r="F198">
        <v>1.775575676754434</v>
      </c>
      <c r="G198">
        <f t="shared" si="3"/>
        <v>17</v>
      </c>
      <c r="H198" t="str" cm="1">
        <f t="array" ref="H198">_xlfn.IFS(AND(G198&gt;=6,G198&lt;=12),"上",AND(G198&gt;=13,G198&lt;=18),"下",AND(G198&gt;=19,G198&lt;=24),"晚",AND(G198&lt;=5),"晚")</f>
        <v>下</v>
      </c>
    </row>
    <row r="199" spans="1:8" x14ac:dyDescent="0.3">
      <c r="A199" s="2">
        <v>44991.625</v>
      </c>
      <c r="B199">
        <v>27.98091554727219</v>
      </c>
      <c r="C199">
        <v>56.015647290127447</v>
      </c>
      <c r="D199">
        <v>753.45011852743858</v>
      </c>
      <c r="E199">
        <v>2.7991279193119198</v>
      </c>
      <c r="F199">
        <v>1.289163534180668</v>
      </c>
      <c r="G199">
        <f t="shared" si="3"/>
        <v>15</v>
      </c>
      <c r="H199" t="str" cm="1">
        <f t="array" ref="H199">_xlfn.IFS(AND(G199&gt;=6,G199&lt;=12),"上",AND(G199&gt;=13,G199&lt;=18),"下",AND(G199&gt;=19,G199&lt;=24),"晚",AND(G199&lt;=5),"晚")</f>
        <v>下</v>
      </c>
    </row>
    <row r="200" spans="1:8" x14ac:dyDescent="0.3">
      <c r="A200" s="2">
        <v>45036.333333333343</v>
      </c>
      <c r="B200">
        <v>20.53800565174307</v>
      </c>
      <c r="C200">
        <v>66.998619713240402</v>
      </c>
      <c r="D200">
        <v>216.3763112263542</v>
      </c>
      <c r="E200">
        <v>1.083867081511406</v>
      </c>
      <c r="F200">
        <v>0.81142883287528511</v>
      </c>
      <c r="G200">
        <f t="shared" si="3"/>
        <v>8</v>
      </c>
      <c r="H200" t="str" cm="1">
        <f t="array" ref="H200">_xlfn.IFS(AND(G200&gt;=6,G200&lt;=12),"上",AND(G200&gt;=13,G200&lt;=18),"下",AND(G200&gt;=19,G200&lt;=24),"晚",AND(G200&lt;=5),"晚")</f>
        <v>上</v>
      </c>
    </row>
    <row r="201" spans="1:8" x14ac:dyDescent="0.3">
      <c r="A201" s="2">
        <v>45072.333333333343</v>
      </c>
      <c r="B201">
        <v>25.821153449478452</v>
      </c>
      <c r="C201">
        <v>69.637616795362703</v>
      </c>
      <c r="D201">
        <v>818.12497678625436</v>
      </c>
      <c r="E201">
        <v>2.265905546914869</v>
      </c>
      <c r="F201">
        <v>1.966203111817598</v>
      </c>
      <c r="G201">
        <f t="shared" si="3"/>
        <v>8</v>
      </c>
      <c r="H201" t="str" cm="1">
        <f t="array" ref="H201">_xlfn.IFS(AND(G201&gt;=6,G201&lt;=12),"上",AND(G201&gt;=13,G201&lt;=18),"下",AND(G201&gt;=19,G201&lt;=24),"晚",AND(G201&lt;=5),"晚")</f>
        <v>上</v>
      </c>
    </row>
    <row r="202" spans="1:8" x14ac:dyDescent="0.3">
      <c r="A202" s="2">
        <v>45069.5</v>
      </c>
      <c r="B202">
        <v>24.39159635138202</v>
      </c>
      <c r="C202">
        <v>31.323613316376662</v>
      </c>
      <c r="D202">
        <v>333.60901862896299</v>
      </c>
      <c r="E202">
        <v>2.8786500388267471</v>
      </c>
      <c r="F202">
        <v>1.757802319588033</v>
      </c>
      <c r="G202">
        <f t="shared" si="3"/>
        <v>12</v>
      </c>
      <c r="H202" t="str" cm="1">
        <f t="array" ref="H202">_xlfn.IFS(AND(G202&gt;=6,G202&lt;=12),"上",AND(G202&gt;=13,G202&lt;=18),"下",AND(G202&gt;=19,G202&lt;=24),"晚",AND(G202&lt;=5),"晚")</f>
        <v>上</v>
      </c>
    </row>
    <row r="203" spans="1:8" x14ac:dyDescent="0.3">
      <c r="A203" s="2">
        <v>45222.458333333343</v>
      </c>
      <c r="B203">
        <v>27.504068319797629</v>
      </c>
      <c r="C203">
        <v>68.782083550546062</v>
      </c>
      <c r="D203">
        <v>627.76685920613136</v>
      </c>
      <c r="E203">
        <v>1.941955014655345</v>
      </c>
      <c r="F203">
        <v>1.252950760117111</v>
      </c>
      <c r="G203">
        <f t="shared" si="3"/>
        <v>11</v>
      </c>
      <c r="H203" t="str" cm="1">
        <f t="array" ref="H203">_xlfn.IFS(AND(G203&gt;=6,G203&lt;=12),"上",AND(G203&gt;=13,G203&lt;=18),"下",AND(G203&gt;=19,G203&lt;=24),"晚",AND(G203&lt;=5),"晚")</f>
        <v>上</v>
      </c>
    </row>
    <row r="204" spans="1:8" x14ac:dyDescent="0.3">
      <c r="A204" s="2">
        <v>45067.75</v>
      </c>
      <c r="B204">
        <v>20.237681321961009</v>
      </c>
      <c r="C204">
        <v>62.12743917761685</v>
      </c>
      <c r="D204">
        <v>612.78770711139941</v>
      </c>
      <c r="E204">
        <v>2.9080165951953738</v>
      </c>
      <c r="F204">
        <v>0.80632275506172368</v>
      </c>
      <c r="G204">
        <f t="shared" si="3"/>
        <v>18</v>
      </c>
      <c r="H204" t="str" cm="1">
        <f t="array" ref="H204">_xlfn.IFS(AND(G204&gt;=6,G204&lt;=12),"上",AND(G204&gt;=13,G204&lt;=18),"下",AND(G204&gt;=19,G204&lt;=24),"晚",AND(G204&lt;=5),"晚")</f>
        <v>下</v>
      </c>
    </row>
    <row r="205" spans="1:8" x14ac:dyDescent="0.3">
      <c r="A205" s="2">
        <v>45143.708333333343</v>
      </c>
      <c r="B205">
        <v>23.8678550374674</v>
      </c>
      <c r="C205">
        <v>33.000193592091037</v>
      </c>
      <c r="D205">
        <v>259.18316078592511</v>
      </c>
      <c r="E205">
        <v>3.2771546196828401</v>
      </c>
      <c r="F205">
        <v>0.80127832639780028</v>
      </c>
      <c r="G205">
        <f t="shared" si="3"/>
        <v>17</v>
      </c>
      <c r="H205" t="str" cm="1">
        <f t="array" ref="H205">_xlfn.IFS(AND(G205&gt;=6,G205&lt;=12),"上",AND(G205&gt;=13,G205&lt;=18),"下",AND(G205&gt;=19,G205&lt;=24),"晚",AND(G205&lt;=5),"晚")</f>
        <v>下</v>
      </c>
    </row>
    <row r="206" spans="1:8" x14ac:dyDescent="0.3">
      <c r="A206" s="2">
        <v>45155.458333333343</v>
      </c>
      <c r="B206">
        <v>24.770944015274939</v>
      </c>
      <c r="C206">
        <v>62.00671513635649</v>
      </c>
      <c r="D206">
        <v>495.13361492976833</v>
      </c>
      <c r="E206">
        <v>4.3580734878881833</v>
      </c>
      <c r="F206">
        <v>0.22674278006703619</v>
      </c>
      <c r="G206">
        <f t="shared" si="3"/>
        <v>11</v>
      </c>
      <c r="H206" t="str" cm="1">
        <f t="array" ref="H206">_xlfn.IFS(AND(G206&gt;=6,G206&lt;=12),"上",AND(G206&gt;=13,G206&lt;=18),"下",AND(G206&gt;=19,G206&lt;=24),"晚",AND(G206&lt;=5),"晚")</f>
        <v>上</v>
      </c>
    </row>
    <row r="207" spans="1:8" x14ac:dyDescent="0.3">
      <c r="A207" s="2">
        <v>45205.083333333343</v>
      </c>
      <c r="B207">
        <v>21.523592254775551</v>
      </c>
      <c r="C207">
        <v>56.505316413746698</v>
      </c>
      <c r="D207">
        <v>837.13390084032676</v>
      </c>
      <c r="E207">
        <v>4.0989853008467918</v>
      </c>
      <c r="F207">
        <v>0.7507898444954606</v>
      </c>
      <c r="G207">
        <f t="shared" si="3"/>
        <v>2</v>
      </c>
      <c r="H207" t="str" cm="1">
        <f t="array" ref="H207">_xlfn.IFS(AND(G207&gt;=6,G207&lt;=12),"上",AND(G207&gt;=13,G207&lt;=18),"下",AND(G207&gt;=19,G207&lt;=24),"晚",AND(G207&lt;=5),"晚")</f>
        <v>晚</v>
      </c>
    </row>
    <row r="208" spans="1:8" x14ac:dyDescent="0.3">
      <c r="A208" s="2">
        <v>45207.625</v>
      </c>
      <c r="B208">
        <v>24.147201867834479</v>
      </c>
      <c r="C208">
        <v>66.229517654303237</v>
      </c>
      <c r="D208">
        <v>974.78174853054338</v>
      </c>
      <c r="E208">
        <v>2.0265138909196709</v>
      </c>
      <c r="F208">
        <v>0.56680003402310497</v>
      </c>
      <c r="G208">
        <f t="shared" si="3"/>
        <v>15</v>
      </c>
      <c r="H208" t="str" cm="1">
        <f t="array" ref="H208">_xlfn.IFS(AND(G208&gt;=6,G208&lt;=12),"上",AND(G208&gt;=13,G208&lt;=18),"下",AND(G208&gt;=19,G208&lt;=24),"晚",AND(G208&lt;=5),"晚")</f>
        <v>下</v>
      </c>
    </row>
    <row r="209" spans="1:8" x14ac:dyDescent="0.3">
      <c r="A209" s="2">
        <v>44951.875</v>
      </c>
      <c r="B209">
        <v>29.104776860613239</v>
      </c>
      <c r="C209">
        <v>48.311891266906088</v>
      </c>
      <c r="D209">
        <v>116.3485781861735</v>
      </c>
      <c r="E209">
        <v>1.514893316356785</v>
      </c>
      <c r="F209">
        <v>1.2562471323042901</v>
      </c>
      <c r="G209">
        <f t="shared" si="3"/>
        <v>21</v>
      </c>
      <c r="H209" t="str" cm="1">
        <f t="array" ref="H209">_xlfn.IFS(AND(G209&gt;=6,G209&lt;=12),"上",AND(G209&gt;=13,G209&lt;=18),"下",AND(G209&gt;=19,G209&lt;=24),"晚",AND(G209&lt;=5),"晚")</f>
        <v>晚</v>
      </c>
    </row>
    <row r="210" spans="1:8" x14ac:dyDescent="0.3">
      <c r="A210" s="2">
        <v>45111.208333333343</v>
      </c>
      <c r="B210">
        <v>24.686342241950221</v>
      </c>
      <c r="C210">
        <v>50.133538519124038</v>
      </c>
      <c r="D210">
        <v>231.988764711513</v>
      </c>
      <c r="E210">
        <v>1.00518820126776</v>
      </c>
      <c r="F210">
        <v>1.468310622566857</v>
      </c>
      <c r="G210">
        <f t="shared" si="3"/>
        <v>5</v>
      </c>
      <c r="H210" t="str" cm="1">
        <f t="array" ref="H210">_xlfn.IFS(AND(G210&gt;=6,G210&lt;=12),"上",AND(G210&gt;=13,G210&lt;=18),"下",AND(G210&gt;=19,G210&lt;=24),"晚",AND(G210&lt;=5),"晚")</f>
        <v>晚</v>
      </c>
    </row>
    <row r="211" spans="1:8" x14ac:dyDescent="0.3">
      <c r="A211" s="2">
        <v>45193.375</v>
      </c>
      <c r="B211">
        <v>22.517761776166669</v>
      </c>
      <c r="C211">
        <v>63.492532480427897</v>
      </c>
      <c r="D211">
        <v>655.69561414556892</v>
      </c>
      <c r="E211">
        <v>2.5944760838048748</v>
      </c>
      <c r="F211">
        <v>0.65560714008624876</v>
      </c>
      <c r="G211">
        <f t="shared" si="3"/>
        <v>9</v>
      </c>
      <c r="H211" t="str" cm="1">
        <f t="array" ref="H211">_xlfn.IFS(AND(G211&gt;=6,G211&lt;=12),"上",AND(G211&gt;=13,G211&lt;=18),"下",AND(G211&gt;=19,G211&lt;=24),"晚",AND(G211&lt;=5),"晚")</f>
        <v>上</v>
      </c>
    </row>
    <row r="212" spans="1:8" x14ac:dyDescent="0.3">
      <c r="A212" s="2">
        <v>44984.75</v>
      </c>
      <c r="B212">
        <v>25.323350610316758</v>
      </c>
      <c r="C212">
        <v>49.351511780771489</v>
      </c>
      <c r="D212">
        <v>102.2617956745585</v>
      </c>
      <c r="E212">
        <v>4.4214600794318546</v>
      </c>
      <c r="F212">
        <v>1.137680248895762</v>
      </c>
      <c r="G212">
        <f t="shared" si="3"/>
        <v>18</v>
      </c>
      <c r="H212" t="str" cm="1">
        <f t="array" ref="H212">_xlfn.IFS(AND(G212&gt;=6,G212&lt;=12),"上",AND(G212&gt;=13,G212&lt;=18),"下",AND(G212&gt;=19,G212&lt;=24),"晚",AND(G212&lt;=5),"晚")</f>
        <v>下</v>
      </c>
    </row>
    <row r="213" spans="1:8" x14ac:dyDescent="0.3">
      <c r="A213" s="2">
        <v>44964.375</v>
      </c>
      <c r="B213">
        <v>20.608424345838781</v>
      </c>
      <c r="C213">
        <v>51.054716055212879</v>
      </c>
      <c r="D213">
        <v>782.19101568911071</v>
      </c>
      <c r="E213">
        <v>1.645571583568203</v>
      </c>
      <c r="F213">
        <v>1.595451322011046</v>
      </c>
      <c r="G213">
        <f t="shared" si="3"/>
        <v>9</v>
      </c>
      <c r="H213" t="str" cm="1">
        <f t="array" ref="H213">_xlfn.IFS(AND(G213&gt;=6,G213&lt;=12),"上",AND(G213&gt;=13,G213&lt;=18),"下",AND(G213&gt;=19,G213&lt;=24),"晚",AND(G213&lt;=5),"晚")</f>
        <v>上</v>
      </c>
    </row>
    <row r="214" spans="1:8" x14ac:dyDescent="0.3">
      <c r="A214" s="2">
        <v>45082.458333333343</v>
      </c>
      <c r="B214">
        <v>22.942685427636739</v>
      </c>
      <c r="C214">
        <v>39.774355159838073</v>
      </c>
      <c r="D214">
        <v>624.71161790570739</v>
      </c>
      <c r="E214">
        <v>2.146878503320965</v>
      </c>
      <c r="F214">
        <v>1.3196172395151551</v>
      </c>
      <c r="G214">
        <f t="shared" si="3"/>
        <v>11</v>
      </c>
      <c r="H214" t="str" cm="1">
        <f t="array" ref="H214">_xlfn.IFS(AND(G214&gt;=6,G214&lt;=12),"上",AND(G214&gt;=13,G214&lt;=18),"下",AND(G214&gt;=19,G214&lt;=24),"晚",AND(G214&lt;=5),"晚")</f>
        <v>上</v>
      </c>
    </row>
    <row r="215" spans="1:8" x14ac:dyDescent="0.3">
      <c r="A215" s="2">
        <v>45188.708333333343</v>
      </c>
      <c r="B215">
        <v>27.836367416903389</v>
      </c>
      <c r="C215">
        <v>43.216900482565208</v>
      </c>
      <c r="D215">
        <v>705.57808603735987</v>
      </c>
      <c r="E215">
        <v>3.1728109049006079</v>
      </c>
      <c r="F215">
        <v>1.5129564937636559</v>
      </c>
      <c r="G215">
        <f t="shared" si="3"/>
        <v>17</v>
      </c>
      <c r="H215" t="str" cm="1">
        <f t="array" ref="H215">_xlfn.IFS(AND(G215&gt;=6,G215&lt;=12),"上",AND(G215&gt;=13,G215&lt;=18),"下",AND(G215&gt;=19,G215&lt;=24),"晚",AND(G215&lt;=5),"晚")</f>
        <v>下</v>
      </c>
    </row>
    <row r="216" spans="1:8" x14ac:dyDescent="0.3">
      <c r="A216" s="2">
        <v>45030.416666666657</v>
      </c>
      <c r="B216">
        <v>26.419142502462531</v>
      </c>
      <c r="C216">
        <v>41.505935015315643</v>
      </c>
      <c r="D216">
        <v>661.81680474970028</v>
      </c>
      <c r="E216">
        <v>3.3752730180572939</v>
      </c>
      <c r="F216">
        <v>0.51435140667303703</v>
      </c>
      <c r="G216">
        <f t="shared" si="3"/>
        <v>10</v>
      </c>
      <c r="H216" t="str" cm="1">
        <f t="array" ref="H216">_xlfn.IFS(AND(G216&gt;=6,G216&lt;=12),"上",AND(G216&gt;=13,G216&lt;=18),"下",AND(G216&gt;=19,G216&lt;=24),"晚",AND(G216&lt;=5),"晚")</f>
        <v>上</v>
      </c>
    </row>
    <row r="217" spans="1:8" x14ac:dyDescent="0.3">
      <c r="A217" s="2">
        <v>45179.75</v>
      </c>
      <c r="B217">
        <v>20.2398485158771</v>
      </c>
      <c r="C217">
        <v>31.826528714666569</v>
      </c>
      <c r="D217">
        <v>639.11241093735362</v>
      </c>
      <c r="E217">
        <v>3.1889049300468941</v>
      </c>
      <c r="F217">
        <v>1.3065947967381371</v>
      </c>
      <c r="G217">
        <f t="shared" si="3"/>
        <v>18</v>
      </c>
      <c r="H217" t="str" cm="1">
        <f t="array" ref="H217">_xlfn.IFS(AND(G217&gt;=6,G217&lt;=12),"上",AND(G217&gt;=13,G217&lt;=18),"下",AND(G217&gt;=19,G217&lt;=24),"晚",AND(G217&lt;=5),"晚")</f>
        <v>下</v>
      </c>
    </row>
    <row r="218" spans="1:8" x14ac:dyDescent="0.3">
      <c r="A218" s="2">
        <v>45182.666666666657</v>
      </c>
      <c r="B218">
        <v>25.698759987051812</v>
      </c>
      <c r="C218">
        <v>53.321351590409421</v>
      </c>
      <c r="D218">
        <v>192.1711532564097</v>
      </c>
      <c r="E218">
        <v>1.0101449085853209</v>
      </c>
      <c r="F218">
        <v>0.62019019487337568</v>
      </c>
      <c r="G218">
        <f t="shared" si="3"/>
        <v>16</v>
      </c>
      <c r="H218" t="str" cm="1">
        <f t="array" ref="H218">_xlfn.IFS(AND(G218&gt;=6,G218&lt;=12),"上",AND(G218&gt;=13,G218&lt;=18),"下",AND(G218&gt;=19,G218&lt;=24),"晚",AND(G218&lt;=5),"晚")</f>
        <v>下</v>
      </c>
    </row>
    <row r="219" spans="1:8" x14ac:dyDescent="0.3">
      <c r="A219" s="2">
        <v>44934.416666666657</v>
      </c>
      <c r="B219">
        <v>22.173400804434419</v>
      </c>
      <c r="C219">
        <v>63.706060153697649</v>
      </c>
      <c r="D219">
        <v>311.70227336919442</v>
      </c>
      <c r="E219">
        <v>4.0828670878136748</v>
      </c>
      <c r="F219">
        <v>0.53842611773661508</v>
      </c>
      <c r="G219">
        <f t="shared" si="3"/>
        <v>10</v>
      </c>
      <c r="H219" t="str" cm="1">
        <f t="array" ref="H219">_xlfn.IFS(AND(G219&gt;=6,G219&lt;=12),"上",AND(G219&gt;=13,G219&lt;=18),"下",AND(G219&gt;=19,G219&lt;=24),"晚",AND(G219&lt;=5),"晚")</f>
        <v>上</v>
      </c>
    </row>
    <row r="220" spans="1:8" x14ac:dyDescent="0.3">
      <c r="A220" s="2">
        <v>45265.416666666657</v>
      </c>
      <c r="B220">
        <v>29.75749815828577</v>
      </c>
      <c r="C220">
        <v>60.812506139926782</v>
      </c>
      <c r="D220">
        <v>517.52569811378521</v>
      </c>
      <c r="E220">
        <v>4.6012097900904649</v>
      </c>
      <c r="F220">
        <v>0.61478083039199705</v>
      </c>
      <c r="G220">
        <f t="shared" si="3"/>
        <v>10</v>
      </c>
      <c r="H220" t="str" cm="1">
        <f t="array" ref="H220">_xlfn.IFS(AND(G220&gt;=6,G220&lt;=12),"上",AND(G220&gt;=13,G220&lt;=18),"下",AND(G220&gt;=19,G220&lt;=24),"晚",AND(G220&lt;=5),"晚")</f>
        <v>上</v>
      </c>
    </row>
    <row r="221" spans="1:8" x14ac:dyDescent="0.3">
      <c r="A221" s="2">
        <v>45201.083333333343</v>
      </c>
      <c r="B221">
        <v>27.836869956934539</v>
      </c>
      <c r="C221">
        <v>39.863425582630853</v>
      </c>
      <c r="D221">
        <v>400.95144638307681</v>
      </c>
      <c r="E221">
        <v>2.0111154571413978</v>
      </c>
      <c r="F221">
        <v>0.7963984718968663</v>
      </c>
      <c r="G221">
        <f t="shared" si="3"/>
        <v>2</v>
      </c>
      <c r="H221" t="str" cm="1">
        <f t="array" ref="H221">_xlfn.IFS(AND(G221&gt;=6,G221&lt;=12),"上",AND(G221&gt;=13,G221&lt;=18),"下",AND(G221&gt;=19,G221&lt;=24),"晚",AND(G221&lt;=5),"晚")</f>
        <v>晚</v>
      </c>
    </row>
    <row r="222" spans="1:8" x14ac:dyDescent="0.3">
      <c r="A222" s="2">
        <v>45244.708333333343</v>
      </c>
      <c r="B222">
        <v>21.279080992277041</v>
      </c>
      <c r="C222">
        <v>53.452387560665493</v>
      </c>
      <c r="D222">
        <v>804.75447429340818</v>
      </c>
      <c r="E222">
        <v>1.532865006864228</v>
      </c>
      <c r="F222">
        <v>0.99478679142211413</v>
      </c>
      <c r="G222">
        <f t="shared" si="3"/>
        <v>17</v>
      </c>
      <c r="H222" t="str" cm="1">
        <f t="array" ref="H222">_xlfn.IFS(AND(G222&gt;=6,G222&lt;=12),"上",AND(G222&gt;=13,G222&lt;=18),"下",AND(G222&gt;=19,G222&lt;=24),"晚",AND(G222&lt;=5),"晚")</f>
        <v>下</v>
      </c>
    </row>
    <row r="223" spans="1:8" x14ac:dyDescent="0.3">
      <c r="A223" s="2">
        <v>45058.666666666657</v>
      </c>
      <c r="B223">
        <v>23.855456776809952</v>
      </c>
      <c r="C223">
        <v>49.617226252744871</v>
      </c>
      <c r="D223">
        <v>707.74570129011613</v>
      </c>
      <c r="E223">
        <v>4.0738632651572546</v>
      </c>
      <c r="F223">
        <v>0.53559674088152998</v>
      </c>
      <c r="G223">
        <f t="shared" si="3"/>
        <v>16</v>
      </c>
      <c r="H223" t="str" cm="1">
        <f t="array" ref="H223">_xlfn.IFS(AND(G223&gt;=6,G223&lt;=12),"上",AND(G223&gt;=13,G223&lt;=18),"下",AND(G223&gt;=19,G223&lt;=24),"晚",AND(G223&lt;=5),"晚")</f>
        <v>下</v>
      </c>
    </row>
    <row r="224" spans="1:8" x14ac:dyDescent="0.3">
      <c r="A224" s="2">
        <v>45092.666666666657</v>
      </c>
      <c r="B224">
        <v>24.8996963150467</v>
      </c>
      <c r="C224">
        <v>62.662156917663559</v>
      </c>
      <c r="D224">
        <v>380.32333878405171</v>
      </c>
      <c r="E224">
        <v>3.9201307896463748</v>
      </c>
      <c r="F224">
        <v>0.76493064105437303</v>
      </c>
      <c r="G224">
        <f t="shared" si="3"/>
        <v>16</v>
      </c>
      <c r="H224" t="str" cm="1">
        <f t="array" ref="H224">_xlfn.IFS(AND(G224&gt;=6,G224&lt;=12),"上",AND(G224&gt;=13,G224&lt;=18),"下",AND(G224&gt;=19,G224&lt;=24),"晚",AND(G224&lt;=5),"晚")</f>
        <v>下</v>
      </c>
    </row>
    <row r="225" spans="1:8" x14ac:dyDescent="0.3">
      <c r="A225" s="2">
        <v>45241.291666666657</v>
      </c>
      <c r="B225">
        <v>21.823717137922252</v>
      </c>
      <c r="C225">
        <v>44.139196924177227</v>
      </c>
      <c r="D225">
        <v>955.9803141421603</v>
      </c>
      <c r="E225">
        <v>4.1721949826591933</v>
      </c>
      <c r="F225">
        <v>1.803343758715894</v>
      </c>
      <c r="G225">
        <f t="shared" si="3"/>
        <v>7</v>
      </c>
      <c r="H225" t="str" cm="1">
        <f t="array" ref="H225">_xlfn.IFS(AND(G225&gt;=6,G225&lt;=12),"上",AND(G225&gt;=13,G225&lt;=18),"下",AND(G225&gt;=19,G225&lt;=24),"晚",AND(G225&lt;=5),"晚")</f>
        <v>上</v>
      </c>
    </row>
    <row r="226" spans="1:8" x14ac:dyDescent="0.3">
      <c r="A226" s="2">
        <v>45075.791666666657</v>
      </c>
      <c r="B226">
        <v>27.042838534638229</v>
      </c>
      <c r="C226">
        <v>31.46387804287134</v>
      </c>
      <c r="D226">
        <v>679.81774219433271</v>
      </c>
      <c r="E226">
        <v>4.6757759159490213</v>
      </c>
      <c r="F226">
        <v>0.35579112429040483</v>
      </c>
      <c r="G226">
        <f t="shared" si="3"/>
        <v>19</v>
      </c>
      <c r="H226" t="str" cm="1">
        <f t="array" ref="H226">_xlfn.IFS(AND(G226&gt;=6,G226&lt;=12),"上",AND(G226&gt;=13,G226&lt;=18),"下",AND(G226&gt;=19,G226&lt;=24),"晚",AND(G226&lt;=5),"晚")</f>
        <v>晚</v>
      </c>
    </row>
    <row r="227" spans="1:8" x14ac:dyDescent="0.3">
      <c r="A227" s="2">
        <v>45091.083333333343</v>
      </c>
      <c r="B227">
        <v>28.413787602688139</v>
      </c>
      <c r="C227">
        <v>65.491032480810119</v>
      </c>
      <c r="D227">
        <v>861.96265044034806</v>
      </c>
      <c r="E227">
        <v>1.1769631782377521</v>
      </c>
      <c r="F227">
        <v>0.50987571398361375</v>
      </c>
      <c r="G227">
        <f t="shared" si="3"/>
        <v>2</v>
      </c>
      <c r="H227" t="str" cm="1">
        <f t="array" ref="H227">_xlfn.IFS(AND(G227&gt;=6,G227&lt;=12),"上",AND(G227&gt;=13,G227&lt;=18),"下",AND(G227&gt;=19,G227&lt;=24),"晚",AND(G227&lt;=5),"晚")</f>
        <v>晚</v>
      </c>
    </row>
    <row r="228" spans="1:8" x14ac:dyDescent="0.3">
      <c r="A228" s="2">
        <v>45028.583333333343</v>
      </c>
      <c r="B228">
        <v>20.044645953895639</v>
      </c>
      <c r="C228">
        <v>56.811217123283967</v>
      </c>
      <c r="D228">
        <v>914.12675908569179</v>
      </c>
      <c r="E228">
        <v>3.148132917212449</v>
      </c>
      <c r="F228">
        <v>0.2153161165911508</v>
      </c>
      <c r="G228">
        <f t="shared" si="3"/>
        <v>14</v>
      </c>
      <c r="H228" t="str" cm="1">
        <f t="array" ref="H228">_xlfn.IFS(AND(G228&gt;=6,G228&lt;=12),"上",AND(G228&gt;=13,G228&lt;=18),"下",AND(G228&gt;=19,G228&lt;=24),"晚",AND(G228&lt;=5),"晚")</f>
        <v>下</v>
      </c>
    </row>
    <row r="229" spans="1:8" x14ac:dyDescent="0.3">
      <c r="A229" s="2">
        <v>45038.25</v>
      </c>
      <c r="B229">
        <v>21.332233881348738</v>
      </c>
      <c r="C229">
        <v>37.274338411671117</v>
      </c>
      <c r="D229">
        <v>277.86993074134273</v>
      </c>
      <c r="E229">
        <v>4.1562954772246226</v>
      </c>
      <c r="F229">
        <v>1.4468741465273911</v>
      </c>
      <c r="G229">
        <f t="shared" si="3"/>
        <v>6</v>
      </c>
      <c r="H229" t="str" cm="1">
        <f t="array" ref="H229">_xlfn.IFS(AND(G229&gt;=6,G229&lt;=12),"上",AND(G229&gt;=13,G229&lt;=18),"下",AND(G229&gt;=19,G229&lt;=24),"晚",AND(G229&lt;=5),"晚")</f>
        <v>上</v>
      </c>
    </row>
    <row r="230" spans="1:8" x14ac:dyDescent="0.3">
      <c r="A230" s="2">
        <v>44951.416666666657</v>
      </c>
      <c r="B230">
        <v>22.83462839154355</v>
      </c>
      <c r="C230">
        <v>38.228166313715583</v>
      </c>
      <c r="D230">
        <v>457.9580742668619</v>
      </c>
      <c r="E230">
        <v>3.004936101401535</v>
      </c>
      <c r="F230">
        <v>1.1058803561651951</v>
      </c>
      <c r="G230">
        <f t="shared" si="3"/>
        <v>10</v>
      </c>
      <c r="H230" t="str" cm="1">
        <f t="array" ref="H230">_xlfn.IFS(AND(G230&gt;=6,G230&lt;=12),"上",AND(G230&gt;=13,G230&lt;=18),"下",AND(G230&gt;=19,G230&lt;=24),"晚",AND(G230&lt;=5),"晚")</f>
        <v>上</v>
      </c>
    </row>
    <row r="231" spans="1:8" x14ac:dyDescent="0.3">
      <c r="A231" s="2">
        <v>45272.708333333343</v>
      </c>
      <c r="B231">
        <v>29.841102276547829</v>
      </c>
      <c r="C231">
        <v>45.9279941983364</v>
      </c>
      <c r="D231">
        <v>154.87206139744501</v>
      </c>
      <c r="E231">
        <v>3.2085691581541949</v>
      </c>
      <c r="F231">
        <v>1.001208647323359</v>
      </c>
      <c r="G231">
        <f t="shared" si="3"/>
        <v>17</v>
      </c>
      <c r="H231" t="str" cm="1">
        <f t="array" ref="H231">_xlfn.IFS(AND(G231&gt;=6,G231&lt;=12),"上",AND(G231&gt;=13,G231&lt;=18),"下",AND(G231&gt;=19,G231&lt;=24),"晚",AND(G231&lt;=5),"晚")</f>
        <v>下</v>
      </c>
    </row>
    <row r="232" spans="1:8" x14ac:dyDescent="0.3">
      <c r="A232" s="2">
        <v>45155.958333333343</v>
      </c>
      <c r="B232">
        <v>24.04527878500166</v>
      </c>
      <c r="C232">
        <v>49.055529353523923</v>
      </c>
      <c r="D232">
        <v>233.03902815982241</v>
      </c>
      <c r="E232">
        <v>3.2664924927395238</v>
      </c>
      <c r="F232">
        <v>0.16538883391544529</v>
      </c>
      <c r="G232">
        <f t="shared" si="3"/>
        <v>23</v>
      </c>
      <c r="H232" t="str" cm="1">
        <f t="array" ref="H232">_xlfn.IFS(AND(G232&gt;=6,G232&lt;=12),"上",AND(G232&gt;=13,G232&lt;=18),"下",AND(G232&gt;=19,G232&lt;=24),"晚",AND(G232&lt;=5),"晚")</f>
        <v>晚</v>
      </c>
    </row>
    <row r="233" spans="1:8" x14ac:dyDescent="0.3">
      <c r="A233" s="2">
        <v>45038.166666666657</v>
      </c>
      <c r="B233">
        <v>21.702519629762531</v>
      </c>
      <c r="C233">
        <v>43.212005647577577</v>
      </c>
      <c r="D233">
        <v>628.71961642954466</v>
      </c>
      <c r="E233">
        <v>1.041558212660942</v>
      </c>
      <c r="F233">
        <v>1.9265510644764809</v>
      </c>
      <c r="G233">
        <f t="shared" si="3"/>
        <v>4</v>
      </c>
      <c r="H233" t="str" cm="1">
        <f t="array" ref="H233">_xlfn.IFS(AND(G233&gt;=6,G233&lt;=12),"上",AND(G233&gt;=13,G233&lt;=18),"下",AND(G233&gt;=19,G233&lt;=24),"晚",AND(G233&lt;=5),"晚")</f>
        <v>晚</v>
      </c>
    </row>
    <row r="234" spans="1:8" x14ac:dyDescent="0.3">
      <c r="A234" s="2">
        <v>45250.333333333343</v>
      </c>
      <c r="B234">
        <v>21.209271179720531</v>
      </c>
      <c r="C234">
        <v>50.626818059903677</v>
      </c>
      <c r="D234">
        <v>565.41988386630283</v>
      </c>
      <c r="E234">
        <v>4.6171541385796342</v>
      </c>
      <c r="F234">
        <v>1.703746992872804</v>
      </c>
      <c r="G234">
        <f t="shared" si="3"/>
        <v>8</v>
      </c>
      <c r="H234" t="str" cm="1">
        <f t="array" ref="H234">_xlfn.IFS(AND(G234&gt;=6,G234&lt;=12),"上",AND(G234&gt;=13,G234&lt;=18),"下",AND(G234&gt;=19,G234&lt;=24),"晚",AND(G234&lt;=5),"晚")</f>
        <v>上</v>
      </c>
    </row>
    <row r="235" spans="1:8" x14ac:dyDescent="0.3">
      <c r="A235" s="2">
        <v>45166.291666666657</v>
      </c>
      <c r="B235">
        <v>29.01356163685757</v>
      </c>
      <c r="C235">
        <v>65.698010007891426</v>
      </c>
      <c r="D235">
        <v>493.77109784723109</v>
      </c>
      <c r="E235">
        <v>1.843150704702917</v>
      </c>
      <c r="F235">
        <v>1.658710805423558</v>
      </c>
      <c r="G235">
        <f t="shared" si="3"/>
        <v>7</v>
      </c>
      <c r="H235" t="str" cm="1">
        <f t="array" ref="H235">_xlfn.IFS(AND(G235&gt;=6,G235&lt;=12),"上",AND(G235&gt;=13,G235&lt;=18),"下",AND(G235&gt;=19,G235&lt;=24),"晚",AND(G235&lt;=5),"晚")</f>
        <v>上</v>
      </c>
    </row>
    <row r="236" spans="1:8" x14ac:dyDescent="0.3">
      <c r="A236" s="2">
        <v>45124.666666666657</v>
      </c>
      <c r="B236">
        <v>28.102440844424841</v>
      </c>
      <c r="C236">
        <v>55.198428299185011</v>
      </c>
      <c r="D236">
        <v>745.26615070288267</v>
      </c>
      <c r="E236">
        <v>1.1018323910524579</v>
      </c>
      <c r="F236">
        <v>1.762913203521205</v>
      </c>
      <c r="G236">
        <f t="shared" si="3"/>
        <v>16</v>
      </c>
      <c r="H236" t="str" cm="1">
        <f t="array" ref="H236">_xlfn.IFS(AND(G236&gt;=6,G236&lt;=12),"上",AND(G236&gt;=13,G236&lt;=18),"下",AND(G236&gt;=19,G236&lt;=24),"晚",AND(G236&lt;=5),"晚")</f>
        <v>下</v>
      </c>
    </row>
    <row r="237" spans="1:8" x14ac:dyDescent="0.3">
      <c r="A237" s="2">
        <v>45263.333333333343</v>
      </c>
      <c r="B237">
        <v>26.193006073063309</v>
      </c>
      <c r="C237">
        <v>44.781166004082017</v>
      </c>
      <c r="D237">
        <v>339.31589851418551</v>
      </c>
      <c r="E237">
        <v>3.5337557232714718</v>
      </c>
      <c r="F237">
        <v>1.576347805764023</v>
      </c>
      <c r="G237">
        <f t="shared" si="3"/>
        <v>8</v>
      </c>
      <c r="H237" t="str" cm="1">
        <f t="array" ref="H237">_xlfn.IFS(AND(G237&gt;=6,G237&lt;=12),"上",AND(G237&gt;=13,G237&lt;=18),"下",AND(G237&gt;=19,G237&lt;=24),"晚",AND(G237&lt;=5),"晚")</f>
        <v>上</v>
      </c>
    </row>
    <row r="238" spans="1:8" x14ac:dyDescent="0.3">
      <c r="A238" s="2">
        <v>45261.333333333343</v>
      </c>
      <c r="B238">
        <v>25.39695657069359</v>
      </c>
      <c r="C238">
        <v>64.41772320765854</v>
      </c>
      <c r="D238">
        <v>473.00238767821622</v>
      </c>
      <c r="E238">
        <v>3.240695974562271</v>
      </c>
      <c r="F238">
        <v>0.36493137800643688</v>
      </c>
      <c r="G238">
        <f t="shared" si="3"/>
        <v>8</v>
      </c>
      <c r="H238" t="str" cm="1">
        <f t="array" ref="H238">_xlfn.IFS(AND(G238&gt;=6,G238&lt;=12),"上",AND(G238&gt;=13,G238&lt;=18),"下",AND(G238&gt;=19,G238&lt;=24),"晚",AND(G238&lt;=5),"晚")</f>
        <v>上</v>
      </c>
    </row>
    <row r="239" spans="1:8" x14ac:dyDescent="0.3">
      <c r="A239" s="2">
        <v>44932.416666666657</v>
      </c>
      <c r="B239">
        <v>27.771537615303661</v>
      </c>
      <c r="C239">
        <v>57.828922039007232</v>
      </c>
      <c r="D239">
        <v>944.39464363964794</v>
      </c>
      <c r="E239">
        <v>1.5110370837175719</v>
      </c>
      <c r="F239">
        <v>1.945835618859505</v>
      </c>
      <c r="G239">
        <f t="shared" si="3"/>
        <v>10</v>
      </c>
      <c r="H239" t="str" cm="1">
        <f t="array" ref="H239">_xlfn.IFS(AND(G239&gt;=6,G239&lt;=12),"上",AND(G239&gt;=13,G239&lt;=18),"下",AND(G239&gt;=19,G239&lt;=24),"晚",AND(G239&lt;=5),"晚")</f>
        <v>上</v>
      </c>
    </row>
    <row r="240" spans="1:8" x14ac:dyDescent="0.3">
      <c r="A240" s="2">
        <v>45053.875</v>
      </c>
      <c r="B240">
        <v>23.181505383036669</v>
      </c>
      <c r="C240">
        <v>53.748953931107202</v>
      </c>
      <c r="D240">
        <v>610.38130271962109</v>
      </c>
      <c r="E240">
        <v>4.9931787851628346</v>
      </c>
      <c r="F240">
        <v>1.874065098586303</v>
      </c>
      <c r="G240">
        <f t="shared" si="3"/>
        <v>21</v>
      </c>
      <c r="H240" t="str" cm="1">
        <f t="array" ref="H240">_xlfn.IFS(AND(G240&gt;=6,G240&lt;=12),"上",AND(G240&gt;=13,G240&lt;=18),"下",AND(G240&gt;=19,G240&lt;=24),"晚",AND(G240&lt;=5),"晚")</f>
        <v>晚</v>
      </c>
    </row>
    <row r="241" spans="1:8" x14ac:dyDescent="0.3">
      <c r="A241" s="2">
        <v>45087.75</v>
      </c>
      <c r="B241">
        <v>26.398546571412972</v>
      </c>
      <c r="C241">
        <v>50.660726622733208</v>
      </c>
      <c r="D241">
        <v>713.29014917317966</v>
      </c>
      <c r="E241">
        <v>2.5659798044237672</v>
      </c>
      <c r="F241">
        <v>1.4225465116200491</v>
      </c>
      <c r="G241">
        <f t="shared" si="3"/>
        <v>18</v>
      </c>
      <c r="H241" t="str" cm="1">
        <f t="array" ref="H241">_xlfn.IFS(AND(G241&gt;=6,G241&lt;=12),"上",AND(G241&gt;=13,G241&lt;=18),"下",AND(G241&gt;=19,G241&lt;=24),"晚",AND(G241&lt;=5),"晚")</f>
        <v>下</v>
      </c>
    </row>
    <row r="242" spans="1:8" x14ac:dyDescent="0.3">
      <c r="A242" s="2">
        <v>45066.791666666657</v>
      </c>
      <c r="B242">
        <v>27.368454413919679</v>
      </c>
      <c r="C242">
        <v>33.513481993111768</v>
      </c>
      <c r="D242">
        <v>770.94745176125195</v>
      </c>
      <c r="E242">
        <v>2.0639764618130552</v>
      </c>
      <c r="F242">
        <v>0.65482028540334436</v>
      </c>
      <c r="G242">
        <f t="shared" si="3"/>
        <v>19</v>
      </c>
      <c r="H242" t="str" cm="1">
        <f t="array" ref="H242">_xlfn.IFS(AND(G242&gt;=6,G242&lt;=12),"上",AND(G242&gt;=13,G242&lt;=18),"下",AND(G242&gt;=19,G242&lt;=24),"晚",AND(G242&lt;=5),"晚")</f>
        <v>晚</v>
      </c>
    </row>
    <row r="243" spans="1:8" x14ac:dyDescent="0.3">
      <c r="A243" s="2">
        <v>45101.875</v>
      </c>
      <c r="B243">
        <v>25.756487262436782</v>
      </c>
      <c r="C243">
        <v>53.717405503084592</v>
      </c>
      <c r="D243">
        <v>502.04290922121061</v>
      </c>
      <c r="E243">
        <v>1.4047876145571689</v>
      </c>
      <c r="F243">
        <v>0.10211110594216451</v>
      </c>
      <c r="G243">
        <f t="shared" si="3"/>
        <v>21</v>
      </c>
      <c r="H243" t="str" cm="1">
        <f t="array" ref="H243">_xlfn.IFS(AND(G243&gt;=6,G243&lt;=12),"上",AND(G243&gt;=13,G243&lt;=18),"下",AND(G243&gt;=19,G243&lt;=24),"晚",AND(G243&lt;=5),"晚")</f>
        <v>晚</v>
      </c>
    </row>
    <row r="244" spans="1:8" x14ac:dyDescent="0.3">
      <c r="A244" s="2">
        <v>44957.791666666657</v>
      </c>
      <c r="B244">
        <v>21.687319534854741</v>
      </c>
      <c r="C244">
        <v>45.930371120182251</v>
      </c>
      <c r="D244">
        <v>487.72850852459698</v>
      </c>
      <c r="E244">
        <v>3.1381491229666572</v>
      </c>
      <c r="F244">
        <v>1.0231373618861019</v>
      </c>
      <c r="G244">
        <f t="shared" si="3"/>
        <v>19</v>
      </c>
      <c r="H244" t="str" cm="1">
        <f t="array" ref="H244">_xlfn.IFS(AND(G244&gt;=6,G244&lt;=12),"上",AND(G244&gt;=13,G244&lt;=18),"下",AND(G244&gt;=19,G244&lt;=24),"晚",AND(G244&lt;=5),"晚")</f>
        <v>晚</v>
      </c>
    </row>
    <row r="245" spans="1:8" x14ac:dyDescent="0.3">
      <c r="A245" s="2">
        <v>45216.416666666657</v>
      </c>
      <c r="B245">
        <v>29.859047964010809</v>
      </c>
      <c r="C245">
        <v>52.013161769189438</v>
      </c>
      <c r="D245">
        <v>523.1839035375051</v>
      </c>
      <c r="E245">
        <v>1.6571026690387789</v>
      </c>
      <c r="F245">
        <v>1.230126597820749</v>
      </c>
      <c r="G245">
        <f t="shared" si="3"/>
        <v>10</v>
      </c>
      <c r="H245" t="str" cm="1">
        <f t="array" ref="H245">_xlfn.IFS(AND(G245&gt;=6,G245&lt;=12),"上",AND(G245&gt;=13,G245&lt;=18),"下",AND(G245&gt;=19,G245&lt;=24),"晚",AND(G245&lt;=5),"晚")</f>
        <v>上</v>
      </c>
    </row>
    <row r="246" spans="1:8" x14ac:dyDescent="0.3">
      <c r="A246" s="2">
        <v>44963.25</v>
      </c>
      <c r="B246">
        <v>28.111955617155299</v>
      </c>
      <c r="C246">
        <v>34.962600834194077</v>
      </c>
      <c r="D246">
        <v>875.81772964467871</v>
      </c>
      <c r="E246">
        <v>1.5827016982712609</v>
      </c>
      <c r="F246">
        <v>1.9885645140088499</v>
      </c>
      <c r="G246">
        <f t="shared" si="3"/>
        <v>6</v>
      </c>
      <c r="H246" t="str" cm="1">
        <f t="array" ref="H246">_xlfn.IFS(AND(G246&gt;=6,G246&lt;=12),"上",AND(G246&gt;=13,G246&lt;=18),"下",AND(G246&gt;=19,G246&lt;=24),"晚",AND(G246&lt;=5),"晚")</f>
        <v>上</v>
      </c>
    </row>
    <row r="247" spans="1:8" x14ac:dyDescent="0.3">
      <c r="A247" s="2">
        <v>45277.208333333343</v>
      </c>
      <c r="B247">
        <v>24.906269432401</v>
      </c>
      <c r="C247">
        <v>61.44710225380102</v>
      </c>
      <c r="D247">
        <v>427.25405405871442</v>
      </c>
      <c r="E247">
        <v>3.9100325975825569</v>
      </c>
      <c r="F247">
        <v>0.35253857039446179</v>
      </c>
      <c r="G247">
        <f t="shared" si="3"/>
        <v>5</v>
      </c>
      <c r="H247" t="str" cm="1">
        <f t="array" ref="H247">_xlfn.IFS(AND(G247&gt;=6,G247&lt;=12),"上",AND(G247&gt;=13,G247&lt;=18),"下",AND(G247&gt;=19,G247&lt;=24),"晚",AND(G247&lt;=5),"晚")</f>
        <v>晚</v>
      </c>
    </row>
    <row r="248" spans="1:8" x14ac:dyDescent="0.3">
      <c r="A248" s="2">
        <v>45126.208333333343</v>
      </c>
      <c r="B248">
        <v>26.199701755815859</v>
      </c>
      <c r="C248">
        <v>50.478241857300162</v>
      </c>
      <c r="D248">
        <v>896.7538572607267</v>
      </c>
      <c r="E248">
        <v>1.267442699480023</v>
      </c>
      <c r="F248">
        <v>0.26875818523630562</v>
      </c>
      <c r="G248">
        <f t="shared" si="3"/>
        <v>5</v>
      </c>
      <c r="H248" t="str" cm="1">
        <f t="array" ref="H248">_xlfn.IFS(AND(G248&gt;=6,G248&lt;=12),"上",AND(G248&gt;=13,G248&lt;=18),"下",AND(G248&gt;=19,G248&lt;=24),"晚",AND(G248&lt;=5),"晚")</f>
        <v>晚</v>
      </c>
    </row>
    <row r="249" spans="1:8" x14ac:dyDescent="0.3">
      <c r="A249" s="2">
        <v>45139.333333333343</v>
      </c>
      <c r="B249">
        <v>27.600759906649841</v>
      </c>
      <c r="C249">
        <v>63.237222299503983</v>
      </c>
      <c r="D249">
        <v>136.82514916256639</v>
      </c>
      <c r="E249">
        <v>3.8526071923363419</v>
      </c>
      <c r="F249">
        <v>0.91000503220615547</v>
      </c>
      <c r="G249">
        <f t="shared" si="3"/>
        <v>8</v>
      </c>
      <c r="H249" t="str" cm="1">
        <f t="array" ref="H249">_xlfn.IFS(AND(G249&gt;=6,G249&lt;=12),"上",AND(G249&gt;=13,G249&lt;=18),"下",AND(G249&gt;=19,G249&lt;=24),"晚",AND(G249&lt;=5),"晚")</f>
        <v>上</v>
      </c>
    </row>
    <row r="250" spans="1:8" x14ac:dyDescent="0.3">
      <c r="A250" s="2">
        <v>44929.708333333343</v>
      </c>
      <c r="B250">
        <v>24.585851836596071</v>
      </c>
      <c r="C250">
        <v>38.272490384798751</v>
      </c>
      <c r="D250">
        <v>327.55164388789387</v>
      </c>
      <c r="E250">
        <v>1.2785810193878779</v>
      </c>
      <c r="F250">
        <v>1.526816822307798</v>
      </c>
      <c r="G250">
        <f t="shared" si="3"/>
        <v>17</v>
      </c>
      <c r="H250" t="str" cm="1">
        <f t="array" ref="H250">_xlfn.IFS(AND(G250&gt;=6,G250&lt;=12),"上",AND(G250&gt;=13,G250&lt;=18),"下",AND(G250&gt;=19,G250&lt;=24),"晚",AND(G250&lt;=5),"晚")</f>
        <v>下</v>
      </c>
    </row>
    <row r="251" spans="1:8" x14ac:dyDescent="0.3">
      <c r="A251" s="2">
        <v>45216.166666666657</v>
      </c>
      <c r="B251">
        <v>27.391162048767509</v>
      </c>
      <c r="C251">
        <v>67.523366438216215</v>
      </c>
      <c r="D251">
        <v>907.6499360583307</v>
      </c>
      <c r="E251">
        <v>2.5772542841293169</v>
      </c>
      <c r="F251">
        <v>0.74613362606585698</v>
      </c>
      <c r="G251">
        <f t="shared" si="3"/>
        <v>4</v>
      </c>
      <c r="H251" t="str" cm="1">
        <f t="array" ref="H251">_xlfn.IFS(AND(G251&gt;=6,G251&lt;=12),"上",AND(G251&gt;=13,G251&lt;=18),"下",AND(G251&gt;=19,G251&lt;=24),"晚",AND(G251&lt;=5),"晚")</f>
        <v>晚</v>
      </c>
    </row>
    <row r="252" spans="1:8" x14ac:dyDescent="0.3">
      <c r="A252" s="2">
        <v>45053.666666666657</v>
      </c>
      <c r="B252">
        <v>27.729278978334481</v>
      </c>
      <c r="C252">
        <v>53.12738773388714</v>
      </c>
      <c r="D252">
        <v>939.4938889334021</v>
      </c>
      <c r="E252">
        <v>1.499754059676472</v>
      </c>
      <c r="F252">
        <v>1.3584844801128499</v>
      </c>
      <c r="G252">
        <f t="shared" si="3"/>
        <v>16</v>
      </c>
      <c r="H252" t="str" cm="1">
        <f t="array" ref="H252">_xlfn.IFS(AND(G252&gt;=6,G252&lt;=12),"上",AND(G252&gt;=13,G252&lt;=18),"下",AND(G252&gt;=19,G252&lt;=24),"晚",AND(G252&lt;=5),"晚")</f>
        <v>下</v>
      </c>
    </row>
    <row r="253" spans="1:8" x14ac:dyDescent="0.3">
      <c r="A253" s="2">
        <v>45093.375</v>
      </c>
      <c r="B253">
        <v>24.590073895223892</v>
      </c>
      <c r="C253">
        <v>33.02742822750789</v>
      </c>
      <c r="D253">
        <v>286.90742673787389</v>
      </c>
      <c r="E253">
        <v>4.9386348279223462</v>
      </c>
      <c r="F253">
        <v>1.7899329345417061</v>
      </c>
      <c r="G253">
        <f t="shared" si="3"/>
        <v>9</v>
      </c>
      <c r="H253" t="str" cm="1">
        <f t="array" ref="H253">_xlfn.IFS(AND(G253&gt;=6,G253&lt;=12),"上",AND(G253&gt;=13,G253&lt;=18),"下",AND(G253&gt;=19,G253&lt;=24),"晚",AND(G253&lt;=5),"晚")</f>
        <v>上</v>
      </c>
    </row>
    <row r="254" spans="1:8" x14ac:dyDescent="0.3">
      <c r="A254" s="2">
        <v>45039.583333333343</v>
      </c>
      <c r="B254">
        <v>21.877681278218489</v>
      </c>
      <c r="C254">
        <v>42.548706821259437</v>
      </c>
      <c r="D254">
        <v>295.44378730743063</v>
      </c>
      <c r="E254">
        <v>1.9449827406485549</v>
      </c>
      <c r="F254">
        <v>1.607007783096366</v>
      </c>
      <c r="G254">
        <f t="shared" si="3"/>
        <v>14</v>
      </c>
      <c r="H254" t="str" cm="1">
        <f t="array" ref="H254">_xlfn.IFS(AND(G254&gt;=6,G254&lt;=12),"上",AND(G254&gt;=13,G254&lt;=18),"下",AND(G254&gt;=19,G254&lt;=24),"晚",AND(G254&lt;=5),"晚")</f>
        <v>下</v>
      </c>
    </row>
    <row r="255" spans="1:8" x14ac:dyDescent="0.3">
      <c r="A255" s="2">
        <v>45283.291666666657</v>
      </c>
      <c r="B255">
        <v>25.977670787061552</v>
      </c>
      <c r="C255">
        <v>69.307396301454432</v>
      </c>
      <c r="D255">
        <v>778.82132133465245</v>
      </c>
      <c r="E255">
        <v>2.4578488942340582</v>
      </c>
      <c r="F255">
        <v>0.29303213119564869</v>
      </c>
      <c r="G255">
        <f t="shared" si="3"/>
        <v>7</v>
      </c>
      <c r="H255" t="str" cm="1">
        <f t="array" ref="H255">_xlfn.IFS(AND(G255&gt;=6,G255&lt;=12),"上",AND(G255&gt;=13,G255&lt;=18),"下",AND(G255&gt;=19,G255&lt;=24),"晚",AND(G255&lt;=5),"晚")</f>
        <v>上</v>
      </c>
    </row>
    <row r="256" spans="1:8" x14ac:dyDescent="0.3">
      <c r="A256" s="2">
        <v>45032.541666666657</v>
      </c>
      <c r="B256">
        <v>25.542888392884699</v>
      </c>
      <c r="C256">
        <v>54.533364775459958</v>
      </c>
      <c r="D256">
        <v>425.3188954787031</v>
      </c>
      <c r="E256">
        <v>1.845324744053249</v>
      </c>
      <c r="F256">
        <v>0.94754312157170695</v>
      </c>
      <c r="G256">
        <f t="shared" si="3"/>
        <v>13</v>
      </c>
      <c r="H256" t="str" cm="1">
        <f t="array" ref="H256">_xlfn.IFS(AND(G256&gt;=6,G256&lt;=12),"上",AND(G256&gt;=13,G256&lt;=18),"下",AND(G256&gt;=19,G256&lt;=24),"晚",AND(G256&lt;=5),"晚")</f>
        <v>下</v>
      </c>
    </row>
    <row r="257" spans="1:8" x14ac:dyDescent="0.3">
      <c r="A257" s="2">
        <v>45255</v>
      </c>
      <c r="B257">
        <v>25.004936858193108</v>
      </c>
      <c r="C257">
        <v>46.789882071742277</v>
      </c>
      <c r="D257">
        <v>285.09029075430288</v>
      </c>
      <c r="E257">
        <v>3.1755362241119491</v>
      </c>
      <c r="F257">
        <v>0.17218604340536231</v>
      </c>
      <c r="G257">
        <f t="shared" si="3"/>
        <v>0</v>
      </c>
      <c r="H257" t="str" cm="1">
        <f t="array" ref="H257">_xlfn.IFS(AND(G257&gt;=6,G257&lt;=12),"上",AND(G257&gt;=13,G257&lt;=18),"下",AND(G257&gt;=19,G257&lt;=24),"晚",AND(G257&lt;=5),"晚")</f>
        <v>晚</v>
      </c>
    </row>
    <row r="258" spans="1:8" x14ac:dyDescent="0.3">
      <c r="A258" s="2">
        <v>44967.041666666657</v>
      </c>
      <c r="B258">
        <v>20.585820231736928</v>
      </c>
      <c r="C258">
        <v>66.627656613991178</v>
      </c>
      <c r="D258">
        <v>304.51185316551511</v>
      </c>
      <c r="E258">
        <v>4.6890736707143112</v>
      </c>
      <c r="F258">
        <v>0.42041281642923622</v>
      </c>
      <c r="G258">
        <f t="shared" si="3"/>
        <v>1</v>
      </c>
      <c r="H258" t="str" cm="1">
        <f t="array" ref="H258">_xlfn.IFS(AND(G258&gt;=6,G258&lt;=12),"上",AND(G258&gt;=13,G258&lt;=18),"下",AND(G258&gt;=19,G258&lt;=24),"晚",AND(G258&lt;=5),"晚")</f>
        <v>晚</v>
      </c>
    </row>
    <row r="259" spans="1:8" x14ac:dyDescent="0.3">
      <c r="A259" s="2">
        <v>44986.541666666657</v>
      </c>
      <c r="B259">
        <v>27.775631943305392</v>
      </c>
      <c r="C259">
        <v>44.451384730317891</v>
      </c>
      <c r="D259">
        <v>373.76583249787109</v>
      </c>
      <c r="E259">
        <v>2.9306341667558811</v>
      </c>
      <c r="F259">
        <v>1.5643509503838391</v>
      </c>
      <c r="G259">
        <f t="shared" ref="G259:G322" si="4">HOUR(A259)</f>
        <v>13</v>
      </c>
      <c r="H259" t="str" cm="1">
        <f t="array" ref="H259">_xlfn.IFS(AND(G259&gt;=6,G259&lt;=12),"上",AND(G259&gt;=13,G259&lt;=18),"下",AND(G259&gt;=19,G259&lt;=24),"晚",AND(G259&lt;=5),"晚")</f>
        <v>下</v>
      </c>
    </row>
    <row r="260" spans="1:8" x14ac:dyDescent="0.3">
      <c r="A260" s="2">
        <v>45043.75</v>
      </c>
      <c r="B260">
        <v>25.387082535651171</v>
      </c>
      <c r="C260">
        <v>59.885830423322943</v>
      </c>
      <c r="D260">
        <v>849.68915120209294</v>
      </c>
      <c r="E260">
        <v>3.9685326841506519</v>
      </c>
      <c r="F260">
        <v>0.43077695049026721</v>
      </c>
      <c r="G260">
        <f t="shared" si="4"/>
        <v>18</v>
      </c>
      <c r="H260" t="str" cm="1">
        <f t="array" ref="H260">_xlfn.IFS(AND(G260&gt;=6,G260&lt;=12),"上",AND(G260&gt;=13,G260&lt;=18),"下",AND(G260&gt;=19,G260&lt;=24),"晚",AND(G260&lt;=5),"晚")</f>
        <v>下</v>
      </c>
    </row>
    <row r="261" spans="1:8" x14ac:dyDescent="0.3">
      <c r="A261" s="2">
        <v>45091.125</v>
      </c>
      <c r="B261">
        <v>24.306514522683859</v>
      </c>
      <c r="C261">
        <v>35.850603250863628</v>
      </c>
      <c r="D261">
        <v>510.7398929631421</v>
      </c>
      <c r="E261">
        <v>2.4195544063116019</v>
      </c>
      <c r="F261">
        <v>1.1617466936886001</v>
      </c>
      <c r="G261">
        <f t="shared" si="4"/>
        <v>3</v>
      </c>
      <c r="H261" t="str" cm="1">
        <f t="array" ref="H261">_xlfn.IFS(AND(G261&gt;=6,G261&lt;=12),"上",AND(G261&gt;=13,G261&lt;=18),"下",AND(G261&gt;=19,G261&lt;=24),"晚",AND(G261&lt;=5),"晚")</f>
        <v>晚</v>
      </c>
    </row>
    <row r="262" spans="1:8" x14ac:dyDescent="0.3">
      <c r="A262" s="2">
        <v>45134.166666666657</v>
      </c>
      <c r="B262">
        <v>28.148922205470591</v>
      </c>
      <c r="C262">
        <v>57.886387833093927</v>
      </c>
      <c r="D262">
        <v>214.37975087173021</v>
      </c>
      <c r="E262">
        <v>2.1295570065588891</v>
      </c>
      <c r="F262">
        <v>1.2684591237738121</v>
      </c>
      <c r="G262">
        <f t="shared" si="4"/>
        <v>4</v>
      </c>
      <c r="H262" t="str" cm="1">
        <f t="array" ref="H262">_xlfn.IFS(AND(G262&gt;=6,G262&lt;=12),"上",AND(G262&gt;=13,G262&lt;=18),"下",AND(G262&gt;=19,G262&lt;=24),"晚",AND(G262&lt;=5),"晚")</f>
        <v>晚</v>
      </c>
    </row>
    <row r="263" spans="1:8" x14ac:dyDescent="0.3">
      <c r="A263" s="2">
        <v>45276.041666666657</v>
      </c>
      <c r="B263">
        <v>21.968846910630671</v>
      </c>
      <c r="C263">
        <v>49.657589882375852</v>
      </c>
      <c r="D263">
        <v>434.38247001562053</v>
      </c>
      <c r="E263">
        <v>1.394397060347337</v>
      </c>
      <c r="F263">
        <v>0.39760904029030342</v>
      </c>
      <c r="G263">
        <f t="shared" si="4"/>
        <v>1</v>
      </c>
      <c r="H263" t="str" cm="1">
        <f t="array" ref="H263">_xlfn.IFS(AND(G263&gt;=6,G263&lt;=12),"上",AND(G263&gt;=13,G263&lt;=18),"下",AND(G263&gt;=19,G263&lt;=24),"晚",AND(G263&lt;=5),"晚")</f>
        <v>晚</v>
      </c>
    </row>
    <row r="264" spans="1:8" x14ac:dyDescent="0.3">
      <c r="A264" s="2">
        <v>45263.041666666657</v>
      </c>
      <c r="B264">
        <v>22.716813581317449</v>
      </c>
      <c r="C264">
        <v>46.985169659908557</v>
      </c>
      <c r="D264">
        <v>390.85101363052308</v>
      </c>
      <c r="E264">
        <v>4.8795953357302082</v>
      </c>
      <c r="F264">
        <v>1.838162108848324</v>
      </c>
      <c r="G264">
        <f t="shared" si="4"/>
        <v>1</v>
      </c>
      <c r="H264" t="str" cm="1">
        <f t="array" ref="H264">_xlfn.IFS(AND(G264&gt;=6,G264&lt;=12),"上",AND(G264&gt;=13,G264&lt;=18),"下",AND(G264&gt;=19,G264&lt;=24),"晚",AND(G264&lt;=5),"晚")</f>
        <v>晚</v>
      </c>
    </row>
    <row r="265" spans="1:8" x14ac:dyDescent="0.3">
      <c r="A265" s="2">
        <v>44993.75</v>
      </c>
      <c r="B265">
        <v>26.39727043731612</v>
      </c>
      <c r="C265">
        <v>39.26436723063847</v>
      </c>
      <c r="D265">
        <v>168.49153367984809</v>
      </c>
      <c r="E265">
        <v>2.5140488091448101</v>
      </c>
      <c r="F265">
        <v>0.21115351013066441</v>
      </c>
      <c r="G265">
        <f t="shared" si="4"/>
        <v>18</v>
      </c>
      <c r="H265" t="str" cm="1">
        <f t="array" ref="H265">_xlfn.IFS(AND(G265&gt;=6,G265&lt;=12),"上",AND(G265&gt;=13,G265&lt;=18),"下",AND(G265&gt;=19,G265&lt;=24),"晚",AND(G265&lt;=5),"晚")</f>
        <v>下</v>
      </c>
    </row>
    <row r="266" spans="1:8" x14ac:dyDescent="0.3">
      <c r="A266" s="2">
        <v>45224.625</v>
      </c>
      <c r="B266">
        <v>23.90058037301867</v>
      </c>
      <c r="C266">
        <v>69.498234057866682</v>
      </c>
      <c r="D266">
        <v>840.96238215804419</v>
      </c>
      <c r="E266">
        <v>4.4944520299744264</v>
      </c>
      <c r="F266">
        <v>1.8465457237753931</v>
      </c>
      <c r="G266">
        <f t="shared" si="4"/>
        <v>15</v>
      </c>
      <c r="H266" t="str" cm="1">
        <f t="array" ref="H266">_xlfn.IFS(AND(G266&gt;=6,G266&lt;=12),"上",AND(G266&gt;=13,G266&lt;=18),"下",AND(G266&gt;=19,G266&lt;=24),"晚",AND(G266&lt;=5),"晚")</f>
        <v>下</v>
      </c>
    </row>
    <row r="267" spans="1:8" x14ac:dyDescent="0.3">
      <c r="A267" s="2">
        <v>45045.541666666657</v>
      </c>
      <c r="B267">
        <v>23.03069289205774</v>
      </c>
      <c r="C267">
        <v>34.944774079490067</v>
      </c>
      <c r="D267">
        <v>758.21549341656623</v>
      </c>
      <c r="E267">
        <v>3.4787857679515679</v>
      </c>
      <c r="F267">
        <v>0.31621883560533448</v>
      </c>
      <c r="G267">
        <f t="shared" si="4"/>
        <v>13</v>
      </c>
      <c r="H267" t="str" cm="1">
        <f t="array" ref="H267">_xlfn.IFS(AND(G267&gt;=6,G267&lt;=12),"上",AND(G267&gt;=13,G267&lt;=18),"下",AND(G267&gt;=19,G267&lt;=24),"晚",AND(G267&lt;=5),"晚")</f>
        <v>下</v>
      </c>
    </row>
    <row r="268" spans="1:8" x14ac:dyDescent="0.3">
      <c r="A268" s="2">
        <v>45112.375</v>
      </c>
      <c r="B268">
        <v>22.546159351015199</v>
      </c>
      <c r="C268">
        <v>38.139675986691643</v>
      </c>
      <c r="D268">
        <v>492.00588865797698</v>
      </c>
      <c r="E268">
        <v>3.7128500460028628</v>
      </c>
      <c r="F268">
        <v>1.8116529683500071</v>
      </c>
      <c r="G268">
        <f t="shared" si="4"/>
        <v>9</v>
      </c>
      <c r="H268" t="str" cm="1">
        <f t="array" ref="H268">_xlfn.IFS(AND(G268&gt;=6,G268&lt;=12),"上",AND(G268&gt;=13,G268&lt;=18),"下",AND(G268&gt;=19,G268&lt;=24),"晚",AND(G268&lt;=5),"晚")</f>
        <v>上</v>
      </c>
    </row>
    <row r="269" spans="1:8" x14ac:dyDescent="0.3">
      <c r="A269" s="2">
        <v>45275.541666666657</v>
      </c>
      <c r="B269">
        <v>24.857307866628769</v>
      </c>
      <c r="C269">
        <v>45.096453057812226</v>
      </c>
      <c r="D269">
        <v>731.38857056477434</v>
      </c>
      <c r="E269">
        <v>2.8290666738483381</v>
      </c>
      <c r="F269">
        <v>0.79899276120574736</v>
      </c>
      <c r="G269">
        <f t="shared" si="4"/>
        <v>13</v>
      </c>
      <c r="H269" t="str" cm="1">
        <f t="array" ref="H269">_xlfn.IFS(AND(G269&gt;=6,G269&lt;=12),"上",AND(G269&gt;=13,G269&lt;=18),"下",AND(G269&gt;=19,G269&lt;=24),"晚",AND(G269&lt;=5),"晚")</f>
        <v>下</v>
      </c>
    </row>
    <row r="270" spans="1:8" x14ac:dyDescent="0.3">
      <c r="A270" s="2">
        <v>44970.375</v>
      </c>
      <c r="B270">
        <v>27.755368723009688</v>
      </c>
      <c r="C270">
        <v>35.244814965403357</v>
      </c>
      <c r="D270">
        <v>404.83846784210812</v>
      </c>
      <c r="E270">
        <v>2.3089826279104759</v>
      </c>
      <c r="F270">
        <v>1.6006975006255739</v>
      </c>
      <c r="G270">
        <f t="shared" si="4"/>
        <v>9</v>
      </c>
      <c r="H270" t="str" cm="1">
        <f t="array" ref="H270">_xlfn.IFS(AND(G270&gt;=6,G270&lt;=12),"上",AND(G270&gt;=13,G270&lt;=18),"下",AND(G270&gt;=19,G270&lt;=24),"晚",AND(G270&lt;=5),"晚")</f>
        <v>上</v>
      </c>
    </row>
    <row r="271" spans="1:8" x14ac:dyDescent="0.3">
      <c r="A271" s="2">
        <v>44988.875</v>
      </c>
      <c r="B271">
        <v>28.053259580175691</v>
      </c>
      <c r="C271">
        <v>67.412978968127476</v>
      </c>
      <c r="D271">
        <v>942.25241286978542</v>
      </c>
      <c r="E271">
        <v>2.8947601581950648</v>
      </c>
      <c r="F271">
        <v>0.8490515069712089</v>
      </c>
      <c r="G271">
        <f t="shared" si="4"/>
        <v>21</v>
      </c>
      <c r="H271" t="str" cm="1">
        <f t="array" ref="H271">_xlfn.IFS(AND(G271&gt;=6,G271&lt;=12),"上",AND(G271&gt;=13,G271&lt;=18),"下",AND(G271&gt;=19,G271&lt;=24),"晚",AND(G271&lt;=5),"晚")</f>
        <v>晚</v>
      </c>
    </row>
    <row r="272" spans="1:8" x14ac:dyDescent="0.3">
      <c r="A272" s="2">
        <v>44949.833333333343</v>
      </c>
      <c r="B272">
        <v>27.90569700685467</v>
      </c>
      <c r="C272">
        <v>66.415255629020848</v>
      </c>
      <c r="D272">
        <v>550.70354473183227</v>
      </c>
      <c r="E272">
        <v>4.0655208452622258</v>
      </c>
      <c r="F272">
        <v>1.4929973177967171</v>
      </c>
      <c r="G272">
        <f t="shared" si="4"/>
        <v>20</v>
      </c>
      <c r="H272" t="str" cm="1">
        <f t="array" ref="H272">_xlfn.IFS(AND(G272&gt;=6,G272&lt;=12),"上",AND(G272&gt;=13,G272&lt;=18),"下",AND(G272&gt;=19,G272&lt;=24),"晚",AND(G272&lt;=5),"晚")</f>
        <v>晚</v>
      </c>
    </row>
    <row r="273" spans="1:8" x14ac:dyDescent="0.3">
      <c r="A273" s="2">
        <v>45098.5</v>
      </c>
      <c r="B273">
        <v>28.856452506740251</v>
      </c>
      <c r="C273">
        <v>47.527711212752152</v>
      </c>
      <c r="D273">
        <v>200.08263211707859</v>
      </c>
      <c r="E273">
        <v>4.6483777080899298</v>
      </c>
      <c r="F273">
        <v>1.7195424352445989</v>
      </c>
      <c r="G273">
        <f t="shared" si="4"/>
        <v>12</v>
      </c>
      <c r="H273" t="str" cm="1">
        <f t="array" ref="H273">_xlfn.IFS(AND(G273&gt;=6,G273&lt;=12),"上",AND(G273&gt;=13,G273&lt;=18),"下",AND(G273&gt;=19,G273&lt;=24),"晚",AND(G273&lt;=5),"晚")</f>
        <v>上</v>
      </c>
    </row>
    <row r="274" spans="1:8" x14ac:dyDescent="0.3">
      <c r="A274" s="2">
        <v>44933.5</v>
      </c>
      <c r="B274">
        <v>20.507418306394211</v>
      </c>
      <c r="C274">
        <v>49.69602781495125</v>
      </c>
      <c r="D274">
        <v>527.66374085590951</v>
      </c>
      <c r="E274">
        <v>2.9811648003409141</v>
      </c>
      <c r="F274">
        <v>1.098333869294807</v>
      </c>
      <c r="G274">
        <f t="shared" si="4"/>
        <v>12</v>
      </c>
      <c r="H274" t="str" cm="1">
        <f t="array" ref="H274">_xlfn.IFS(AND(G274&gt;=6,G274&lt;=12),"上",AND(G274&gt;=13,G274&lt;=18),"下",AND(G274&gt;=19,G274&lt;=24),"晚",AND(G274&lt;=5),"晚")</f>
        <v>上</v>
      </c>
    </row>
    <row r="275" spans="1:8" x14ac:dyDescent="0.3">
      <c r="A275" s="2">
        <v>45272.583333333343</v>
      </c>
      <c r="B275">
        <v>29.82216859910011</v>
      </c>
      <c r="C275">
        <v>32.483623899408236</v>
      </c>
      <c r="D275">
        <v>424.11771455813158</v>
      </c>
      <c r="E275">
        <v>3.123450789756951</v>
      </c>
      <c r="F275">
        <v>0.86406517739537536</v>
      </c>
      <c r="G275">
        <f t="shared" si="4"/>
        <v>14</v>
      </c>
      <c r="H275" t="str" cm="1">
        <f t="array" ref="H275">_xlfn.IFS(AND(G275&gt;=6,G275&lt;=12),"上",AND(G275&gt;=13,G275&lt;=18),"下",AND(G275&gt;=19,G275&lt;=24),"晚",AND(G275&lt;=5),"晚")</f>
        <v>下</v>
      </c>
    </row>
    <row r="276" spans="1:8" x14ac:dyDescent="0.3">
      <c r="A276" s="2">
        <v>45190.833333333343</v>
      </c>
      <c r="B276">
        <v>24.264614917885972</v>
      </c>
      <c r="C276">
        <v>63.574914646692548</v>
      </c>
      <c r="D276">
        <v>130.69377098239531</v>
      </c>
      <c r="E276">
        <v>3.9298326273355322</v>
      </c>
      <c r="F276">
        <v>0.84980201626092911</v>
      </c>
      <c r="G276">
        <f t="shared" si="4"/>
        <v>20</v>
      </c>
      <c r="H276" t="str" cm="1">
        <f t="array" ref="H276">_xlfn.IFS(AND(G276&gt;=6,G276&lt;=12),"上",AND(G276&gt;=13,G276&lt;=18),"下",AND(G276&gt;=19,G276&lt;=24),"晚",AND(G276&lt;=5),"晚")</f>
        <v>晚</v>
      </c>
    </row>
    <row r="277" spans="1:8" x14ac:dyDescent="0.3">
      <c r="A277" s="2">
        <v>45085.416666666657</v>
      </c>
      <c r="B277">
        <v>21.929821079457799</v>
      </c>
      <c r="C277">
        <v>61.219501518911663</v>
      </c>
      <c r="D277">
        <v>414.73881785718459</v>
      </c>
      <c r="E277">
        <v>4.8373855826236838</v>
      </c>
      <c r="F277">
        <v>0.20752434944652581</v>
      </c>
      <c r="G277">
        <f t="shared" si="4"/>
        <v>10</v>
      </c>
      <c r="H277" t="str" cm="1">
        <f t="array" ref="H277">_xlfn.IFS(AND(G277&gt;=6,G277&lt;=12),"上",AND(G277&gt;=13,G277&lt;=18),"下",AND(G277&gt;=19,G277&lt;=24),"晚",AND(G277&lt;=5),"晚")</f>
        <v>上</v>
      </c>
    </row>
    <row r="278" spans="1:8" x14ac:dyDescent="0.3">
      <c r="A278" s="2">
        <v>45040.25</v>
      </c>
      <c r="B278">
        <v>29.700227833676319</v>
      </c>
      <c r="C278">
        <v>45.731557807916893</v>
      </c>
      <c r="D278">
        <v>978.70673601367162</v>
      </c>
      <c r="E278">
        <v>3.6312898535343159</v>
      </c>
      <c r="F278">
        <v>0.12814986244666049</v>
      </c>
      <c r="G278">
        <f t="shared" si="4"/>
        <v>6</v>
      </c>
      <c r="H278" t="str" cm="1">
        <f t="array" ref="H278">_xlfn.IFS(AND(G278&gt;=6,G278&lt;=12),"上",AND(G278&gt;=13,G278&lt;=18),"下",AND(G278&gt;=19,G278&lt;=24),"晚",AND(G278&lt;=5),"晚")</f>
        <v>上</v>
      </c>
    </row>
    <row r="279" spans="1:8" x14ac:dyDescent="0.3">
      <c r="A279" s="2">
        <v>45125.666666666657</v>
      </c>
      <c r="B279">
        <v>28.251823228761321</v>
      </c>
      <c r="C279">
        <v>49.083490577796788</v>
      </c>
      <c r="D279">
        <v>333.68442884571817</v>
      </c>
      <c r="E279">
        <v>4.4001931446555629</v>
      </c>
      <c r="F279">
        <v>1.512783255100919</v>
      </c>
      <c r="G279">
        <f t="shared" si="4"/>
        <v>16</v>
      </c>
      <c r="H279" t="str" cm="1">
        <f t="array" ref="H279">_xlfn.IFS(AND(G279&gt;=6,G279&lt;=12),"上",AND(G279&gt;=13,G279&lt;=18),"下",AND(G279&gt;=19,G279&lt;=24),"晚",AND(G279&lt;=5),"晚")</f>
        <v>下</v>
      </c>
    </row>
    <row r="280" spans="1:8" x14ac:dyDescent="0.3">
      <c r="A280" s="2">
        <v>45149.5</v>
      </c>
      <c r="B280">
        <v>29.297235523838179</v>
      </c>
      <c r="C280">
        <v>56.374471870548533</v>
      </c>
      <c r="D280">
        <v>751.60249373109957</v>
      </c>
      <c r="E280">
        <v>2.6164724456916839</v>
      </c>
      <c r="F280">
        <v>0.88925901846447042</v>
      </c>
      <c r="G280">
        <f t="shared" si="4"/>
        <v>12</v>
      </c>
      <c r="H280" t="str" cm="1">
        <f t="array" ref="H280">_xlfn.IFS(AND(G280&gt;=6,G280&lt;=12),"上",AND(G280&gt;=13,G280&lt;=18),"下",AND(G280&gt;=19,G280&lt;=24),"晚",AND(G280&lt;=5),"晚")</f>
        <v>上</v>
      </c>
    </row>
    <row r="281" spans="1:8" x14ac:dyDescent="0.3">
      <c r="A281" s="2">
        <v>45035.041666666657</v>
      </c>
      <c r="B281">
        <v>25.231537257537632</v>
      </c>
      <c r="C281">
        <v>48.623161472540467</v>
      </c>
      <c r="D281">
        <v>238.72586100171401</v>
      </c>
      <c r="E281">
        <v>1.7179470236168659</v>
      </c>
      <c r="F281">
        <v>0.3870762600210621</v>
      </c>
      <c r="G281">
        <f t="shared" si="4"/>
        <v>1</v>
      </c>
      <c r="H281" t="str" cm="1">
        <f t="array" ref="H281">_xlfn.IFS(AND(G281&gt;=6,G281&lt;=12),"上",AND(G281&gt;=13,G281&lt;=18),"下",AND(G281&gt;=19,G281&lt;=24),"晚",AND(G281&lt;=5),"晚")</f>
        <v>晚</v>
      </c>
    </row>
    <row r="282" spans="1:8" x14ac:dyDescent="0.3">
      <c r="A282" s="2">
        <v>45168.083333333343</v>
      </c>
      <c r="B282">
        <v>27.47741849615414</v>
      </c>
      <c r="C282">
        <v>40.927615762010397</v>
      </c>
      <c r="D282">
        <v>252.38843604986559</v>
      </c>
      <c r="E282">
        <v>3.8188588499572562</v>
      </c>
      <c r="F282">
        <v>1.755920294467902</v>
      </c>
      <c r="G282">
        <f t="shared" si="4"/>
        <v>2</v>
      </c>
      <c r="H282" t="str" cm="1">
        <f t="array" ref="H282">_xlfn.IFS(AND(G282&gt;=6,G282&lt;=12),"上",AND(G282&gt;=13,G282&lt;=18),"下",AND(G282&gt;=19,G282&lt;=24),"晚",AND(G282&lt;=5),"晚")</f>
        <v>晚</v>
      </c>
    </row>
    <row r="283" spans="1:8" x14ac:dyDescent="0.3">
      <c r="A283" s="2">
        <v>45283.208333333343</v>
      </c>
      <c r="B283">
        <v>25.194640377742839</v>
      </c>
      <c r="C283">
        <v>41.899417722731272</v>
      </c>
      <c r="D283">
        <v>366.84187314446967</v>
      </c>
      <c r="E283">
        <v>1.980256872226219</v>
      </c>
      <c r="F283">
        <v>1.3117662785696289</v>
      </c>
      <c r="G283">
        <f t="shared" si="4"/>
        <v>5</v>
      </c>
      <c r="H283" t="str" cm="1">
        <f t="array" ref="H283">_xlfn.IFS(AND(G283&gt;=6,G283&lt;=12),"上",AND(G283&gt;=13,G283&lt;=18),"下",AND(G283&gt;=19,G283&lt;=24),"晚",AND(G283&lt;=5),"晚")</f>
        <v>晚</v>
      </c>
    </row>
    <row r="284" spans="1:8" x14ac:dyDescent="0.3">
      <c r="A284" s="2">
        <v>45034.791666666657</v>
      </c>
      <c r="B284">
        <v>25.39450113811456</v>
      </c>
      <c r="C284">
        <v>50.692520320818097</v>
      </c>
      <c r="D284">
        <v>113.1532484639996</v>
      </c>
      <c r="E284">
        <v>4.5433371171322801</v>
      </c>
      <c r="F284">
        <v>1.0015584518769201</v>
      </c>
      <c r="G284">
        <f t="shared" si="4"/>
        <v>19</v>
      </c>
      <c r="H284" t="str" cm="1">
        <f t="array" ref="H284">_xlfn.IFS(AND(G284&gt;=6,G284&lt;=12),"上",AND(G284&gt;=13,G284&lt;=18),"下",AND(G284&gt;=19,G284&lt;=24),"晚",AND(G284&lt;=5),"晚")</f>
        <v>晚</v>
      </c>
    </row>
    <row r="285" spans="1:8" x14ac:dyDescent="0.3">
      <c r="A285" s="2">
        <v>44957.666666666657</v>
      </c>
      <c r="B285">
        <v>29.515009644070361</v>
      </c>
      <c r="C285">
        <v>69.781241231194016</v>
      </c>
      <c r="D285">
        <v>535.28082774569248</v>
      </c>
      <c r="E285">
        <v>1.3148944267260469</v>
      </c>
      <c r="F285">
        <v>0.77827148718242845</v>
      </c>
      <c r="G285">
        <f t="shared" si="4"/>
        <v>16</v>
      </c>
      <c r="H285" t="str" cm="1">
        <f t="array" ref="H285">_xlfn.IFS(AND(G285&gt;=6,G285&lt;=12),"上",AND(G285&gt;=13,G285&lt;=18),"下",AND(G285&gt;=19,G285&lt;=24),"晚",AND(G285&lt;=5),"晚")</f>
        <v>下</v>
      </c>
    </row>
    <row r="286" spans="1:8" x14ac:dyDescent="0.3">
      <c r="A286" s="2">
        <v>45265.958333333343</v>
      </c>
      <c r="B286">
        <v>27.383569836420978</v>
      </c>
      <c r="C286">
        <v>49.597027149708268</v>
      </c>
      <c r="D286">
        <v>972.84295335795548</v>
      </c>
      <c r="E286">
        <v>2.9037334292440939</v>
      </c>
      <c r="F286">
        <v>0.75501802011621155</v>
      </c>
      <c r="G286">
        <f t="shared" si="4"/>
        <v>23</v>
      </c>
      <c r="H286" t="str" cm="1">
        <f t="array" ref="H286">_xlfn.IFS(AND(G286&gt;=6,G286&lt;=12),"上",AND(G286&gt;=13,G286&lt;=18),"下",AND(G286&gt;=19,G286&lt;=24),"晚",AND(G286&lt;=5),"晚")</f>
        <v>晚</v>
      </c>
    </row>
    <row r="287" spans="1:8" x14ac:dyDescent="0.3">
      <c r="A287" s="2">
        <v>45135.916666666657</v>
      </c>
      <c r="B287">
        <v>25.667778068474931</v>
      </c>
      <c r="C287">
        <v>32.231896797857587</v>
      </c>
      <c r="D287">
        <v>353.37782030042388</v>
      </c>
      <c r="E287">
        <v>2.7455531621329401</v>
      </c>
      <c r="F287">
        <v>0.80569853346623976</v>
      </c>
      <c r="G287">
        <f t="shared" si="4"/>
        <v>22</v>
      </c>
      <c r="H287" t="str" cm="1">
        <f t="array" ref="H287">_xlfn.IFS(AND(G287&gt;=6,G287&lt;=12),"上",AND(G287&gt;=13,G287&lt;=18),"下",AND(G287&gt;=19,G287&lt;=24),"晚",AND(G287&lt;=5),"晚")</f>
        <v>晚</v>
      </c>
    </row>
    <row r="288" spans="1:8" x14ac:dyDescent="0.3">
      <c r="A288" s="2">
        <v>44971.958333333343</v>
      </c>
      <c r="B288">
        <v>23.927352644321399</v>
      </c>
      <c r="C288">
        <v>67.547816650851757</v>
      </c>
      <c r="D288">
        <v>702.84480585768449</v>
      </c>
      <c r="E288">
        <v>4.4494167098743951</v>
      </c>
      <c r="F288">
        <v>1.784453238138977</v>
      </c>
      <c r="G288">
        <f t="shared" si="4"/>
        <v>23</v>
      </c>
      <c r="H288" t="str" cm="1">
        <f t="array" ref="H288">_xlfn.IFS(AND(G288&gt;=6,G288&lt;=12),"上",AND(G288&gt;=13,G288&lt;=18),"下",AND(G288&gt;=19,G288&lt;=24),"晚",AND(G288&lt;=5),"晚")</f>
        <v>晚</v>
      </c>
    </row>
    <row r="289" spans="1:8" x14ac:dyDescent="0.3">
      <c r="A289" s="2">
        <v>44939.166666666657</v>
      </c>
      <c r="B289">
        <v>21.643276386144109</v>
      </c>
      <c r="C289">
        <v>42.23883584367276</v>
      </c>
      <c r="D289">
        <v>859.8530029702265</v>
      </c>
      <c r="E289">
        <v>4.8751452712446577</v>
      </c>
      <c r="F289">
        <v>0.81934784207981992</v>
      </c>
      <c r="G289">
        <f t="shared" si="4"/>
        <v>4</v>
      </c>
      <c r="H289" t="str" cm="1">
        <f t="array" ref="H289">_xlfn.IFS(AND(G289&gt;=6,G289&lt;=12),"上",AND(G289&gt;=13,G289&lt;=18),"下",AND(G289&gt;=19,G289&lt;=24),"晚",AND(G289&lt;=5),"晚")</f>
        <v>晚</v>
      </c>
    </row>
    <row r="290" spans="1:8" x14ac:dyDescent="0.3">
      <c r="A290" s="2">
        <v>45215.041666666657</v>
      </c>
      <c r="B290">
        <v>21.15730374575417</v>
      </c>
      <c r="C290">
        <v>31.59301506936448</v>
      </c>
      <c r="D290">
        <v>945.51041612117751</v>
      </c>
      <c r="E290">
        <v>4.8145049509939666</v>
      </c>
      <c r="F290">
        <v>0.1367012189908835</v>
      </c>
      <c r="G290">
        <f t="shared" si="4"/>
        <v>1</v>
      </c>
      <c r="H290" t="str" cm="1">
        <f t="array" ref="H290">_xlfn.IFS(AND(G290&gt;=6,G290&lt;=12),"上",AND(G290&gt;=13,G290&lt;=18),"下",AND(G290&gt;=19,G290&lt;=24),"晚",AND(G290&lt;=5),"晚")</f>
        <v>晚</v>
      </c>
    </row>
    <row r="291" spans="1:8" x14ac:dyDescent="0.3">
      <c r="A291" s="2">
        <v>45133.875</v>
      </c>
      <c r="B291">
        <v>22.996661455366219</v>
      </c>
      <c r="C291">
        <v>32.891430455831348</v>
      </c>
      <c r="D291">
        <v>122.7936989841067</v>
      </c>
      <c r="E291">
        <v>1.21971917947552</v>
      </c>
      <c r="F291">
        <v>0.37537401414614791</v>
      </c>
      <c r="G291">
        <f t="shared" si="4"/>
        <v>21</v>
      </c>
      <c r="H291" t="str" cm="1">
        <f t="array" ref="H291">_xlfn.IFS(AND(G291&gt;=6,G291&lt;=12),"上",AND(G291&gt;=13,G291&lt;=18),"下",AND(G291&gt;=19,G291&lt;=24),"晚",AND(G291&lt;=5),"晚")</f>
        <v>晚</v>
      </c>
    </row>
    <row r="292" spans="1:8" x14ac:dyDescent="0.3">
      <c r="A292" s="2">
        <v>45200.458333333343</v>
      </c>
      <c r="B292">
        <v>26.928043451973249</v>
      </c>
      <c r="C292">
        <v>36.845384164383162</v>
      </c>
      <c r="D292">
        <v>860.60658214991429</v>
      </c>
      <c r="E292">
        <v>4.9630647857814516</v>
      </c>
      <c r="F292">
        <v>0.75779564831697754</v>
      </c>
      <c r="G292">
        <f t="shared" si="4"/>
        <v>11</v>
      </c>
      <c r="H292" t="str" cm="1">
        <f t="array" ref="H292">_xlfn.IFS(AND(G292&gt;=6,G292&lt;=12),"上",AND(G292&gt;=13,G292&lt;=18),"下",AND(G292&gt;=19,G292&lt;=24),"晚",AND(G292&lt;=5),"晚")</f>
        <v>上</v>
      </c>
    </row>
    <row r="293" spans="1:8" x14ac:dyDescent="0.3">
      <c r="A293" s="2">
        <v>45012.5</v>
      </c>
      <c r="B293">
        <v>21.9155261876571</v>
      </c>
      <c r="C293">
        <v>55.366256281017428</v>
      </c>
      <c r="D293">
        <v>173.2596276433564</v>
      </c>
      <c r="E293">
        <v>3.6718667751305452</v>
      </c>
      <c r="F293">
        <v>0.41606918143097238</v>
      </c>
      <c r="G293">
        <f t="shared" si="4"/>
        <v>12</v>
      </c>
      <c r="H293" t="str" cm="1">
        <f t="array" ref="H293">_xlfn.IFS(AND(G293&gt;=6,G293&lt;=12),"上",AND(G293&gt;=13,G293&lt;=18),"下",AND(G293&gt;=19,G293&lt;=24),"晚",AND(G293&lt;=5),"晚")</f>
        <v>上</v>
      </c>
    </row>
    <row r="294" spans="1:8" x14ac:dyDescent="0.3">
      <c r="A294" s="2">
        <v>45012.208333333343</v>
      </c>
      <c r="B294">
        <v>21.314621365907058</v>
      </c>
      <c r="C294">
        <v>44.719443298280957</v>
      </c>
      <c r="D294">
        <v>382.04800426268503</v>
      </c>
      <c r="E294">
        <v>2.0091449146736968</v>
      </c>
      <c r="F294">
        <v>1.663664777051705</v>
      </c>
      <c r="G294">
        <f t="shared" si="4"/>
        <v>5</v>
      </c>
      <c r="H294" t="str" cm="1">
        <f t="array" ref="H294">_xlfn.IFS(AND(G294&gt;=6,G294&lt;=12),"上",AND(G294&gt;=13,G294&lt;=18),"下",AND(G294&gt;=19,G294&lt;=24),"晚",AND(G294&lt;=5),"晚")</f>
        <v>晚</v>
      </c>
    </row>
    <row r="295" spans="1:8" x14ac:dyDescent="0.3">
      <c r="A295" s="2">
        <v>45273.125</v>
      </c>
      <c r="B295">
        <v>20.777573769731401</v>
      </c>
      <c r="C295">
        <v>66.692001644941598</v>
      </c>
      <c r="D295">
        <v>768.38689933149999</v>
      </c>
      <c r="E295">
        <v>2.5081757480832092</v>
      </c>
      <c r="F295">
        <v>1.997590060432161</v>
      </c>
      <c r="G295">
        <f t="shared" si="4"/>
        <v>3</v>
      </c>
      <c r="H295" t="str" cm="1">
        <f t="array" ref="H295">_xlfn.IFS(AND(G295&gt;=6,G295&lt;=12),"上",AND(G295&gt;=13,G295&lt;=18),"下",AND(G295&gt;=19,G295&lt;=24),"晚",AND(G295&lt;=5),"晚")</f>
        <v>晚</v>
      </c>
    </row>
    <row r="296" spans="1:8" x14ac:dyDescent="0.3">
      <c r="A296" s="2">
        <v>44973.083333333343</v>
      </c>
      <c r="B296">
        <v>28.462493800401599</v>
      </c>
      <c r="C296">
        <v>61.730942573835947</v>
      </c>
      <c r="D296">
        <v>431.41562797578717</v>
      </c>
      <c r="E296">
        <v>4.5547906065558106</v>
      </c>
      <c r="F296">
        <v>0.73490973963960116</v>
      </c>
      <c r="G296">
        <f t="shared" si="4"/>
        <v>2</v>
      </c>
      <c r="H296" t="str" cm="1">
        <f t="array" ref="H296">_xlfn.IFS(AND(G296&gt;=6,G296&lt;=12),"上",AND(G296&gt;=13,G296&lt;=18),"下",AND(G296&gt;=19,G296&lt;=24),"晚",AND(G296&lt;=5),"晚")</f>
        <v>晚</v>
      </c>
    </row>
    <row r="297" spans="1:8" x14ac:dyDescent="0.3">
      <c r="A297" s="2">
        <v>45220.916666666657</v>
      </c>
      <c r="B297">
        <v>22.411898217604708</v>
      </c>
      <c r="C297">
        <v>42.833473581654019</v>
      </c>
      <c r="D297">
        <v>150.86406258386231</v>
      </c>
      <c r="E297">
        <v>4.6642106341289944</v>
      </c>
      <c r="F297">
        <v>1.02185406146896</v>
      </c>
      <c r="G297">
        <f t="shared" si="4"/>
        <v>22</v>
      </c>
      <c r="H297" t="str" cm="1">
        <f t="array" ref="H297">_xlfn.IFS(AND(G297&gt;=6,G297&lt;=12),"上",AND(G297&gt;=13,G297&lt;=18),"下",AND(G297&gt;=19,G297&lt;=24),"晚",AND(G297&lt;=5),"晚")</f>
        <v>晚</v>
      </c>
    </row>
    <row r="298" spans="1:8" x14ac:dyDescent="0.3">
      <c r="A298" s="2">
        <v>44948.208333333343</v>
      </c>
      <c r="B298">
        <v>22.008504640859531</v>
      </c>
      <c r="C298">
        <v>69.444632092278894</v>
      </c>
      <c r="D298">
        <v>768.92051023744921</v>
      </c>
      <c r="E298">
        <v>1.4875579635486811</v>
      </c>
      <c r="F298">
        <v>0.190474517644702</v>
      </c>
      <c r="G298">
        <f t="shared" si="4"/>
        <v>5</v>
      </c>
      <c r="H298" t="str" cm="1">
        <f t="array" ref="H298">_xlfn.IFS(AND(G298&gt;=6,G298&lt;=12),"上",AND(G298&gt;=13,G298&lt;=18),"下",AND(G298&gt;=19,G298&lt;=24),"晚",AND(G298&lt;=5),"晚")</f>
        <v>晚</v>
      </c>
    </row>
    <row r="299" spans="1:8" x14ac:dyDescent="0.3">
      <c r="A299" s="2">
        <v>45238.291666666657</v>
      </c>
      <c r="B299">
        <v>23.908538678925719</v>
      </c>
      <c r="C299">
        <v>56.659951931936611</v>
      </c>
      <c r="D299">
        <v>601.08946811519206</v>
      </c>
      <c r="E299">
        <v>1.573261835350662</v>
      </c>
      <c r="F299">
        <v>0.4694818164125738</v>
      </c>
      <c r="G299">
        <f t="shared" si="4"/>
        <v>7</v>
      </c>
      <c r="H299" t="str" cm="1">
        <f t="array" ref="H299">_xlfn.IFS(AND(G299&gt;=6,G299&lt;=12),"上",AND(G299&gt;=13,G299&lt;=18),"下",AND(G299&gt;=19,G299&lt;=24),"晚",AND(G299&lt;=5),"晚")</f>
        <v>上</v>
      </c>
    </row>
    <row r="300" spans="1:8" x14ac:dyDescent="0.3">
      <c r="A300" s="2">
        <v>45160.333333333343</v>
      </c>
      <c r="B300">
        <v>26.294862004857279</v>
      </c>
      <c r="C300">
        <v>30.697550378047321</v>
      </c>
      <c r="D300">
        <v>518.73421709426157</v>
      </c>
      <c r="E300">
        <v>1.1767820477983131</v>
      </c>
      <c r="F300">
        <v>0.53521496053317208</v>
      </c>
      <c r="G300">
        <f t="shared" si="4"/>
        <v>8</v>
      </c>
      <c r="H300" t="str" cm="1">
        <f t="array" ref="H300">_xlfn.IFS(AND(G300&gt;=6,G300&lt;=12),"上",AND(G300&gt;=13,G300&lt;=18),"下",AND(G300&gt;=19,G300&lt;=24),"晚",AND(G300&lt;=5),"晚")</f>
        <v>上</v>
      </c>
    </row>
    <row r="301" spans="1:8" x14ac:dyDescent="0.3">
      <c r="A301" s="2">
        <v>45187.791666666657</v>
      </c>
      <c r="B301">
        <v>25.862597572348029</v>
      </c>
      <c r="C301">
        <v>48.523529967826917</v>
      </c>
      <c r="D301">
        <v>472.201200194276</v>
      </c>
      <c r="E301">
        <v>2.5753858188712031</v>
      </c>
      <c r="F301">
        <v>0.83621753688238132</v>
      </c>
      <c r="G301">
        <f t="shared" si="4"/>
        <v>19</v>
      </c>
      <c r="H301" t="str" cm="1">
        <f t="array" ref="H301">_xlfn.IFS(AND(G301&gt;=6,G301&lt;=12),"上",AND(G301&gt;=13,G301&lt;=18),"下",AND(G301&gt;=19,G301&lt;=24),"晚",AND(G301&lt;=5),"晚")</f>
        <v>晚</v>
      </c>
    </row>
    <row r="302" spans="1:8" x14ac:dyDescent="0.3">
      <c r="A302" s="2">
        <v>45225.791666666657</v>
      </c>
      <c r="B302">
        <v>29.236578068800451</v>
      </c>
      <c r="C302">
        <v>66.412954992846934</v>
      </c>
      <c r="D302">
        <v>665.34010379342283</v>
      </c>
      <c r="E302">
        <v>2.3805423577761662</v>
      </c>
      <c r="F302">
        <v>1.6701915584776139</v>
      </c>
      <c r="G302">
        <f t="shared" si="4"/>
        <v>19</v>
      </c>
      <c r="H302" t="str" cm="1">
        <f t="array" ref="H302">_xlfn.IFS(AND(G302&gt;=6,G302&lt;=12),"上",AND(G302&gt;=13,G302&lt;=18),"下",AND(G302&gt;=19,G302&lt;=24),"晚",AND(G302&lt;=5),"晚")</f>
        <v>晚</v>
      </c>
    </row>
    <row r="303" spans="1:8" x14ac:dyDescent="0.3">
      <c r="A303" s="2">
        <v>45115.25</v>
      </c>
      <c r="B303">
        <v>26.81972130381547</v>
      </c>
      <c r="C303">
        <v>41.838413901864598</v>
      </c>
      <c r="D303">
        <v>925.34465913264091</v>
      </c>
      <c r="E303">
        <v>3.6908592453214211</v>
      </c>
      <c r="F303">
        <v>0.85849951684133841</v>
      </c>
      <c r="G303">
        <f t="shared" si="4"/>
        <v>6</v>
      </c>
      <c r="H303" t="str" cm="1">
        <f t="array" ref="H303">_xlfn.IFS(AND(G303&gt;=6,G303&lt;=12),"上",AND(G303&gt;=13,G303&lt;=18),"下",AND(G303&gt;=19,G303&lt;=24),"晚",AND(G303&lt;=5),"晚")</f>
        <v>上</v>
      </c>
    </row>
    <row r="304" spans="1:8" x14ac:dyDescent="0.3">
      <c r="A304" s="2">
        <v>45096.833333333343</v>
      </c>
      <c r="B304">
        <v>25.61971550097595</v>
      </c>
      <c r="C304">
        <v>67.074655598193402</v>
      </c>
      <c r="D304">
        <v>478.41370385552682</v>
      </c>
      <c r="E304">
        <v>1.646580195325392</v>
      </c>
      <c r="F304">
        <v>1.5087143581161211</v>
      </c>
      <c r="G304">
        <f t="shared" si="4"/>
        <v>20</v>
      </c>
      <c r="H304" t="str" cm="1">
        <f t="array" ref="H304">_xlfn.IFS(AND(G304&gt;=6,G304&lt;=12),"上",AND(G304&gt;=13,G304&lt;=18),"下",AND(G304&gt;=19,G304&lt;=24),"晚",AND(G304&lt;=5),"晚")</f>
        <v>晚</v>
      </c>
    </row>
    <row r="305" spans="1:8" x14ac:dyDescent="0.3">
      <c r="A305" s="2">
        <v>44994.583333333343</v>
      </c>
      <c r="B305">
        <v>27.115981672249319</v>
      </c>
      <c r="C305">
        <v>54.614526169731683</v>
      </c>
      <c r="D305">
        <v>448.85267260680462</v>
      </c>
      <c r="E305">
        <v>4.1879115183453859</v>
      </c>
      <c r="F305">
        <v>1.1043207845756839</v>
      </c>
      <c r="G305">
        <f t="shared" si="4"/>
        <v>14</v>
      </c>
      <c r="H305" t="str" cm="1">
        <f t="array" ref="H305">_xlfn.IFS(AND(G305&gt;=6,G305&lt;=12),"上",AND(G305&gt;=13,G305&lt;=18),"下",AND(G305&gt;=19,G305&lt;=24),"晚",AND(G305&lt;=5),"晚")</f>
        <v>下</v>
      </c>
    </row>
    <row r="306" spans="1:8" x14ac:dyDescent="0.3">
      <c r="A306" s="2">
        <v>45142.583333333343</v>
      </c>
      <c r="B306">
        <v>26.6372348809012</v>
      </c>
      <c r="C306">
        <v>53.321745661143133</v>
      </c>
      <c r="D306">
        <v>425.14014661012658</v>
      </c>
      <c r="E306">
        <v>3.3205918247197199</v>
      </c>
      <c r="F306">
        <v>1.3609334889553499</v>
      </c>
      <c r="G306">
        <f t="shared" si="4"/>
        <v>14</v>
      </c>
      <c r="H306" t="str" cm="1">
        <f t="array" ref="H306">_xlfn.IFS(AND(G306&gt;=6,G306&lt;=12),"上",AND(G306&gt;=13,G306&lt;=18),"下",AND(G306&gt;=19,G306&lt;=24),"晚",AND(G306&lt;=5),"晚")</f>
        <v>下</v>
      </c>
    </row>
    <row r="307" spans="1:8" x14ac:dyDescent="0.3">
      <c r="A307" s="2">
        <v>45112.125</v>
      </c>
      <c r="B307">
        <v>27.674783192279619</v>
      </c>
      <c r="C307">
        <v>44.633084130762633</v>
      </c>
      <c r="D307">
        <v>279.27164332046442</v>
      </c>
      <c r="E307">
        <v>1.4440334913718329</v>
      </c>
      <c r="F307">
        <v>0.47472517376847201</v>
      </c>
      <c r="G307">
        <f t="shared" si="4"/>
        <v>3</v>
      </c>
      <c r="H307" t="str" cm="1">
        <f t="array" ref="H307">_xlfn.IFS(AND(G307&gt;=6,G307&lt;=12),"上",AND(G307&gt;=13,G307&lt;=18),"下",AND(G307&gt;=19,G307&lt;=24),"晚",AND(G307&lt;=5),"晚")</f>
        <v>晚</v>
      </c>
    </row>
    <row r="308" spans="1:8" x14ac:dyDescent="0.3">
      <c r="A308" s="2">
        <v>45203.291666666657</v>
      </c>
      <c r="B308">
        <v>25.724263128483081</v>
      </c>
      <c r="C308">
        <v>68.2769444266345</v>
      </c>
      <c r="D308">
        <v>849.48687803157497</v>
      </c>
      <c r="E308">
        <v>4.5874102930649734</v>
      </c>
      <c r="F308">
        <v>0.17374243608201029</v>
      </c>
      <c r="G308">
        <f t="shared" si="4"/>
        <v>7</v>
      </c>
      <c r="H308" t="str" cm="1">
        <f t="array" ref="H308">_xlfn.IFS(AND(G308&gt;=6,G308&lt;=12),"上",AND(G308&gt;=13,G308&lt;=18),"下",AND(G308&gt;=19,G308&lt;=24),"晚",AND(G308&lt;=5),"晚")</f>
        <v>上</v>
      </c>
    </row>
    <row r="309" spans="1:8" x14ac:dyDescent="0.3">
      <c r="A309" s="2">
        <v>44948.333333333343</v>
      </c>
      <c r="B309">
        <v>28.072907950548831</v>
      </c>
      <c r="C309">
        <v>47.224646808883769</v>
      </c>
      <c r="D309">
        <v>307.14541988906899</v>
      </c>
      <c r="E309">
        <v>4.3977069295794919</v>
      </c>
      <c r="F309">
        <v>0.56867387635977173</v>
      </c>
      <c r="G309">
        <f t="shared" si="4"/>
        <v>8</v>
      </c>
      <c r="H309" t="str" cm="1">
        <f t="array" ref="H309">_xlfn.IFS(AND(G309&gt;=6,G309&lt;=12),"上",AND(G309&gt;=13,G309&lt;=18),"下",AND(G309&gt;=19,G309&lt;=24),"晚",AND(G309&lt;=5),"晚")</f>
        <v>上</v>
      </c>
    </row>
    <row r="310" spans="1:8" x14ac:dyDescent="0.3">
      <c r="A310" s="2">
        <v>45002.708333333343</v>
      </c>
      <c r="B310">
        <v>29.000573049353441</v>
      </c>
      <c r="C310">
        <v>55.375449590113732</v>
      </c>
      <c r="D310">
        <v>598.97042691931983</v>
      </c>
      <c r="E310">
        <v>4.0163965507116419</v>
      </c>
      <c r="F310">
        <v>0.29234206304292321</v>
      </c>
      <c r="G310">
        <f t="shared" si="4"/>
        <v>17</v>
      </c>
      <c r="H310" t="str" cm="1">
        <f t="array" ref="H310">_xlfn.IFS(AND(G310&gt;=6,G310&lt;=12),"上",AND(G310&gt;=13,G310&lt;=18),"下",AND(G310&gt;=19,G310&lt;=24),"晚",AND(G310&lt;=5),"晚")</f>
        <v>下</v>
      </c>
    </row>
    <row r="311" spans="1:8" x14ac:dyDescent="0.3">
      <c r="A311" s="2">
        <v>45196.416666666657</v>
      </c>
      <c r="B311">
        <v>26.96476829414566</v>
      </c>
      <c r="C311">
        <v>55.483414765064211</v>
      </c>
      <c r="D311">
        <v>803.20725713349009</v>
      </c>
      <c r="E311">
        <v>2.9189655024437879</v>
      </c>
      <c r="F311">
        <v>1.435069556409323</v>
      </c>
      <c r="G311">
        <f t="shared" si="4"/>
        <v>10</v>
      </c>
      <c r="H311" t="str" cm="1">
        <f t="array" ref="H311">_xlfn.IFS(AND(G311&gt;=6,G311&lt;=12),"上",AND(G311&gt;=13,G311&lt;=18),"下",AND(G311&gt;=19,G311&lt;=24),"晚",AND(G311&lt;=5),"晚")</f>
        <v>上</v>
      </c>
    </row>
    <row r="312" spans="1:8" x14ac:dyDescent="0.3">
      <c r="A312" s="2">
        <v>45276.125</v>
      </c>
      <c r="B312">
        <v>23.576198580418819</v>
      </c>
      <c r="C312">
        <v>55.735735414332723</v>
      </c>
      <c r="D312">
        <v>123.215032899154</v>
      </c>
      <c r="E312">
        <v>3.441517334220233</v>
      </c>
      <c r="F312">
        <v>1.1815284903021619</v>
      </c>
      <c r="G312">
        <f t="shared" si="4"/>
        <v>3</v>
      </c>
      <c r="H312" t="str" cm="1">
        <f t="array" ref="H312">_xlfn.IFS(AND(G312&gt;=6,G312&lt;=12),"上",AND(G312&gt;=13,G312&lt;=18),"下",AND(G312&gt;=19,G312&lt;=24),"晚",AND(G312&lt;=5),"晚")</f>
        <v>晚</v>
      </c>
    </row>
    <row r="313" spans="1:8" x14ac:dyDescent="0.3">
      <c r="A313" s="2">
        <v>45240.75</v>
      </c>
      <c r="B313">
        <v>22.799782356028579</v>
      </c>
      <c r="C313">
        <v>42.241711129115927</v>
      </c>
      <c r="D313">
        <v>553.16269533151421</v>
      </c>
      <c r="E313">
        <v>1.791099922446</v>
      </c>
      <c r="F313">
        <v>1.608008050054941</v>
      </c>
      <c r="G313">
        <f t="shared" si="4"/>
        <v>18</v>
      </c>
      <c r="H313" t="str" cm="1">
        <f t="array" ref="H313">_xlfn.IFS(AND(G313&gt;=6,G313&lt;=12),"上",AND(G313&gt;=13,G313&lt;=18),"下",AND(G313&gt;=19,G313&lt;=24),"晚",AND(G313&lt;=5),"晚")</f>
        <v>下</v>
      </c>
    </row>
    <row r="314" spans="1:8" x14ac:dyDescent="0.3">
      <c r="A314" s="2">
        <v>45157.458333333343</v>
      </c>
      <c r="B314">
        <v>26.37185665211906</v>
      </c>
      <c r="C314">
        <v>64.589659249365923</v>
      </c>
      <c r="D314">
        <v>461.99651890508437</v>
      </c>
      <c r="E314">
        <v>4.0391955587150008</v>
      </c>
      <c r="F314">
        <v>0.86493314767705787</v>
      </c>
      <c r="G314">
        <f t="shared" si="4"/>
        <v>11</v>
      </c>
      <c r="H314" t="str" cm="1">
        <f t="array" ref="H314">_xlfn.IFS(AND(G314&gt;=6,G314&lt;=12),"上",AND(G314&gt;=13,G314&lt;=18),"下",AND(G314&gt;=19,G314&lt;=24),"晚",AND(G314&lt;=5),"晚")</f>
        <v>上</v>
      </c>
    </row>
    <row r="315" spans="1:8" x14ac:dyDescent="0.3">
      <c r="A315" s="2">
        <v>45114.541666666657</v>
      </c>
      <c r="B315">
        <v>26.314291382744621</v>
      </c>
      <c r="C315">
        <v>53.744141620183413</v>
      </c>
      <c r="D315">
        <v>165.50474490309591</v>
      </c>
      <c r="E315">
        <v>3.77577948491047</v>
      </c>
      <c r="F315">
        <v>0.59493511426479717</v>
      </c>
      <c r="G315">
        <f t="shared" si="4"/>
        <v>13</v>
      </c>
      <c r="H315" t="str" cm="1">
        <f t="array" ref="H315">_xlfn.IFS(AND(G315&gt;=6,G315&lt;=12),"上",AND(G315&gt;=13,G315&lt;=18),"下",AND(G315&gt;=19,G315&lt;=24),"晚",AND(G315&lt;=5),"晚")</f>
        <v>下</v>
      </c>
    </row>
    <row r="316" spans="1:8" x14ac:dyDescent="0.3">
      <c r="A316" s="2">
        <v>45287.458333333343</v>
      </c>
      <c r="B316">
        <v>20.239105638516289</v>
      </c>
      <c r="C316">
        <v>45.537823276324843</v>
      </c>
      <c r="D316">
        <v>836.85192272107827</v>
      </c>
      <c r="E316">
        <v>4.1956468175636674</v>
      </c>
      <c r="F316">
        <v>1.735977625421425</v>
      </c>
      <c r="G316">
        <f t="shared" si="4"/>
        <v>11</v>
      </c>
      <c r="H316" t="str" cm="1">
        <f t="array" ref="H316">_xlfn.IFS(AND(G316&gt;=6,G316&lt;=12),"上",AND(G316&gt;=13,G316&lt;=18),"下",AND(G316&gt;=19,G316&lt;=24),"晚",AND(G316&lt;=5),"晚")</f>
        <v>上</v>
      </c>
    </row>
    <row r="317" spans="1:8" x14ac:dyDescent="0.3">
      <c r="A317" s="2">
        <v>45031.333333333343</v>
      </c>
      <c r="B317">
        <v>27.47109389627796</v>
      </c>
      <c r="C317">
        <v>42.890974382728047</v>
      </c>
      <c r="D317">
        <v>462.68762167515888</v>
      </c>
      <c r="E317">
        <v>4.751584657439059</v>
      </c>
      <c r="F317">
        <v>1.1745079972120329</v>
      </c>
      <c r="G317">
        <f t="shared" si="4"/>
        <v>8</v>
      </c>
      <c r="H317" t="str" cm="1">
        <f t="array" ref="H317">_xlfn.IFS(AND(G317&gt;=6,G317&lt;=12),"上",AND(G317&gt;=13,G317&lt;=18),"下",AND(G317&gt;=19,G317&lt;=24),"晚",AND(G317&lt;=5),"晚")</f>
        <v>上</v>
      </c>
    </row>
    <row r="318" spans="1:8" x14ac:dyDescent="0.3">
      <c r="A318" s="2">
        <v>45064.791666666657</v>
      </c>
      <c r="B318">
        <v>22.218744868277501</v>
      </c>
      <c r="C318">
        <v>34.547389640103837</v>
      </c>
      <c r="D318">
        <v>435.43243732263022</v>
      </c>
      <c r="E318">
        <v>4.5554718310222349</v>
      </c>
      <c r="F318">
        <v>0.99850771462186816</v>
      </c>
      <c r="G318">
        <f t="shared" si="4"/>
        <v>19</v>
      </c>
      <c r="H318" t="str" cm="1">
        <f t="array" ref="H318">_xlfn.IFS(AND(G318&gt;=6,G318&lt;=12),"上",AND(G318&gt;=13,G318&lt;=18),"下",AND(G318&gt;=19,G318&lt;=24),"晚",AND(G318&lt;=5),"晚")</f>
        <v>晚</v>
      </c>
    </row>
    <row r="319" spans="1:8" x14ac:dyDescent="0.3">
      <c r="A319" s="2">
        <v>45213.458333333343</v>
      </c>
      <c r="B319">
        <v>20.54490162140436</v>
      </c>
      <c r="C319">
        <v>54.409699673945497</v>
      </c>
      <c r="D319">
        <v>706.07515829953331</v>
      </c>
      <c r="E319">
        <v>4.5816168669674768</v>
      </c>
      <c r="F319">
        <v>1.793553123210875</v>
      </c>
      <c r="G319">
        <f t="shared" si="4"/>
        <v>11</v>
      </c>
      <c r="H319" t="str" cm="1">
        <f t="array" ref="H319">_xlfn.IFS(AND(G319&gt;=6,G319&lt;=12),"上",AND(G319&gt;=13,G319&lt;=18),"下",AND(G319&gt;=19,G319&lt;=24),"晚",AND(G319&lt;=5),"晚")</f>
        <v>上</v>
      </c>
    </row>
    <row r="320" spans="1:8" x14ac:dyDescent="0.3">
      <c r="A320" s="2">
        <v>45209.625</v>
      </c>
      <c r="B320">
        <v>21.53199207562411</v>
      </c>
      <c r="C320">
        <v>61.304297717452293</v>
      </c>
      <c r="D320">
        <v>499.12873556288298</v>
      </c>
      <c r="E320">
        <v>2.7199663421129792</v>
      </c>
      <c r="F320">
        <v>0.76084387041509238</v>
      </c>
      <c r="G320">
        <f t="shared" si="4"/>
        <v>15</v>
      </c>
      <c r="H320" t="str" cm="1">
        <f t="array" ref="H320">_xlfn.IFS(AND(G320&gt;=6,G320&lt;=12),"上",AND(G320&gt;=13,G320&lt;=18),"下",AND(G320&gt;=19,G320&lt;=24),"晚",AND(G320&lt;=5),"晚")</f>
        <v>下</v>
      </c>
    </row>
    <row r="321" spans="1:8" x14ac:dyDescent="0.3">
      <c r="A321" s="2">
        <v>44938.166666666657</v>
      </c>
      <c r="B321">
        <v>26.567808884737261</v>
      </c>
      <c r="C321">
        <v>46.898631770322751</v>
      </c>
      <c r="D321">
        <v>434.87570388409819</v>
      </c>
      <c r="E321">
        <v>4.1543936223142417</v>
      </c>
      <c r="F321">
        <v>0.87691418216415884</v>
      </c>
      <c r="G321">
        <f t="shared" si="4"/>
        <v>4</v>
      </c>
      <c r="H321" t="str" cm="1">
        <f t="array" ref="H321">_xlfn.IFS(AND(G321&gt;=6,G321&lt;=12),"上",AND(G321&gt;=13,G321&lt;=18),"下",AND(G321&gt;=19,G321&lt;=24),"晚",AND(G321&lt;=5),"晚")</f>
        <v>晚</v>
      </c>
    </row>
    <row r="322" spans="1:8" x14ac:dyDescent="0.3">
      <c r="A322" s="2">
        <v>45288.833333333343</v>
      </c>
      <c r="B322">
        <v>25.2305468809876</v>
      </c>
      <c r="C322">
        <v>66.626433959800295</v>
      </c>
      <c r="D322">
        <v>606.19745177358436</v>
      </c>
      <c r="E322">
        <v>4.8783146951797756</v>
      </c>
      <c r="F322">
        <v>0.58914469891895549</v>
      </c>
      <c r="G322">
        <f t="shared" si="4"/>
        <v>20</v>
      </c>
      <c r="H322" t="str" cm="1">
        <f t="array" ref="H322">_xlfn.IFS(AND(G322&gt;=6,G322&lt;=12),"上",AND(G322&gt;=13,G322&lt;=18),"下",AND(G322&gt;=19,G322&lt;=24),"晚",AND(G322&lt;=5),"晚")</f>
        <v>晚</v>
      </c>
    </row>
    <row r="323" spans="1:8" x14ac:dyDescent="0.3">
      <c r="A323" s="2">
        <v>45076.833333333343</v>
      </c>
      <c r="B323">
        <v>28.469377416298869</v>
      </c>
      <c r="C323">
        <v>35.021426011025071</v>
      </c>
      <c r="D323">
        <v>425.11223020715983</v>
      </c>
      <c r="E323">
        <v>2.0643170816615952</v>
      </c>
      <c r="F323">
        <v>0.35214428702191691</v>
      </c>
      <c r="G323">
        <f t="shared" ref="G323:G386" si="5">HOUR(A323)</f>
        <v>20</v>
      </c>
      <c r="H323" t="str" cm="1">
        <f t="array" ref="H323">_xlfn.IFS(AND(G323&gt;=6,G323&lt;=12),"上",AND(G323&gt;=13,G323&lt;=18),"下",AND(G323&gt;=19,G323&lt;=24),"晚",AND(G323&lt;=5),"晚")</f>
        <v>晚</v>
      </c>
    </row>
    <row r="324" spans="1:8" x14ac:dyDescent="0.3">
      <c r="A324" s="2">
        <v>45220.416666666657</v>
      </c>
      <c r="B324">
        <v>21.062527499909901</v>
      </c>
      <c r="C324">
        <v>49.515571767761671</v>
      </c>
      <c r="D324">
        <v>778.27310642797283</v>
      </c>
      <c r="E324">
        <v>4.0608082778708523</v>
      </c>
      <c r="F324">
        <v>1.1847025489505969</v>
      </c>
      <c r="G324">
        <f t="shared" si="5"/>
        <v>10</v>
      </c>
      <c r="H324" t="str" cm="1">
        <f t="array" ref="H324">_xlfn.IFS(AND(G324&gt;=6,G324&lt;=12),"上",AND(G324&gt;=13,G324&lt;=18),"下",AND(G324&gt;=19,G324&lt;=24),"晚",AND(G324&lt;=5),"晚")</f>
        <v>上</v>
      </c>
    </row>
    <row r="325" spans="1:8" x14ac:dyDescent="0.3">
      <c r="A325" s="2">
        <v>45021.458333333343</v>
      </c>
      <c r="B325">
        <v>28.295166405584411</v>
      </c>
      <c r="C325">
        <v>55.697032283022622</v>
      </c>
      <c r="D325">
        <v>782.4566743348563</v>
      </c>
      <c r="E325">
        <v>1.9724724906464981</v>
      </c>
      <c r="F325">
        <v>1.8505500508673971</v>
      </c>
      <c r="G325">
        <f t="shared" si="5"/>
        <v>11</v>
      </c>
      <c r="H325" t="str" cm="1">
        <f t="array" ref="H325">_xlfn.IFS(AND(G325&gt;=6,G325&lt;=12),"上",AND(G325&gt;=13,G325&lt;=18),"下",AND(G325&gt;=19,G325&lt;=24),"晚",AND(G325&lt;=5),"晚")</f>
        <v>上</v>
      </c>
    </row>
    <row r="326" spans="1:8" x14ac:dyDescent="0.3">
      <c r="A326" s="2">
        <v>45279.75</v>
      </c>
      <c r="B326">
        <v>26.509178999698829</v>
      </c>
      <c r="C326">
        <v>52.784164454345692</v>
      </c>
      <c r="D326">
        <v>779.53651870340525</v>
      </c>
      <c r="E326">
        <v>2.141262399820532</v>
      </c>
      <c r="F326">
        <v>1.3327243869579311</v>
      </c>
      <c r="G326">
        <f t="shared" si="5"/>
        <v>18</v>
      </c>
      <c r="H326" t="str" cm="1">
        <f t="array" ref="H326">_xlfn.IFS(AND(G326&gt;=6,G326&lt;=12),"上",AND(G326&gt;=13,G326&lt;=18),"下",AND(G326&gt;=19,G326&lt;=24),"晚",AND(G326&lt;=5),"晚")</f>
        <v>下</v>
      </c>
    </row>
    <row r="327" spans="1:8" x14ac:dyDescent="0.3">
      <c r="A327" s="2">
        <v>45209.291666666657</v>
      </c>
      <c r="B327">
        <v>22.14929543900114</v>
      </c>
      <c r="C327">
        <v>65.579772404540648</v>
      </c>
      <c r="D327">
        <v>811.31119208159703</v>
      </c>
      <c r="E327">
        <v>2.7107303761283199</v>
      </c>
      <c r="F327">
        <v>1.361334804684184</v>
      </c>
      <c r="G327">
        <f t="shared" si="5"/>
        <v>7</v>
      </c>
      <c r="H327" t="str" cm="1">
        <f t="array" ref="H327">_xlfn.IFS(AND(G327&gt;=6,G327&lt;=12),"上",AND(G327&gt;=13,G327&lt;=18),"下",AND(G327&gt;=19,G327&lt;=24),"晚",AND(G327&lt;=5),"晚")</f>
        <v>上</v>
      </c>
    </row>
    <row r="328" spans="1:8" x14ac:dyDescent="0.3">
      <c r="A328" s="2">
        <v>45214.291666666657</v>
      </c>
      <c r="B328">
        <v>27.369056156720561</v>
      </c>
      <c r="C328">
        <v>57.361338227280243</v>
      </c>
      <c r="D328">
        <v>589.12530062174255</v>
      </c>
      <c r="E328">
        <v>2.7686401846717881</v>
      </c>
      <c r="F328">
        <v>1.731005334248285</v>
      </c>
      <c r="G328">
        <f t="shared" si="5"/>
        <v>7</v>
      </c>
      <c r="H328" t="str" cm="1">
        <f t="array" ref="H328">_xlfn.IFS(AND(G328&gt;=6,G328&lt;=12),"上",AND(G328&gt;=13,G328&lt;=18),"下",AND(G328&gt;=19,G328&lt;=24),"晚",AND(G328&lt;=5),"晚")</f>
        <v>上</v>
      </c>
    </row>
    <row r="329" spans="1:8" x14ac:dyDescent="0.3">
      <c r="A329" s="2">
        <v>45249.583333333343</v>
      </c>
      <c r="B329">
        <v>27.413332879208891</v>
      </c>
      <c r="C329">
        <v>63.001325239736232</v>
      </c>
      <c r="D329">
        <v>838.06091420247469</v>
      </c>
      <c r="E329">
        <v>3.803200527286335</v>
      </c>
      <c r="F329">
        <v>1.430229993379915</v>
      </c>
      <c r="G329">
        <f t="shared" si="5"/>
        <v>14</v>
      </c>
      <c r="H329" t="str" cm="1">
        <f t="array" ref="H329">_xlfn.IFS(AND(G329&gt;=6,G329&lt;=12),"上",AND(G329&gt;=13,G329&lt;=18),"下",AND(G329&gt;=19,G329&lt;=24),"晚",AND(G329&lt;=5),"晚")</f>
        <v>下</v>
      </c>
    </row>
    <row r="330" spans="1:8" x14ac:dyDescent="0.3">
      <c r="A330" s="2">
        <v>45253.041666666657</v>
      </c>
      <c r="B330">
        <v>21.08001584482383</v>
      </c>
      <c r="C330">
        <v>56.485036428893807</v>
      </c>
      <c r="D330">
        <v>341.63521803931212</v>
      </c>
      <c r="E330">
        <v>1.4189609238957901</v>
      </c>
      <c r="F330">
        <v>0.81428681752773391</v>
      </c>
      <c r="G330">
        <f t="shared" si="5"/>
        <v>1</v>
      </c>
      <c r="H330" t="str" cm="1">
        <f t="array" ref="H330">_xlfn.IFS(AND(G330&gt;=6,G330&lt;=12),"上",AND(G330&gt;=13,G330&lt;=18),"下",AND(G330&gt;=19,G330&lt;=24),"晚",AND(G330&lt;=5),"晚")</f>
        <v>晚</v>
      </c>
    </row>
    <row r="331" spans="1:8" x14ac:dyDescent="0.3">
      <c r="A331" s="2">
        <v>45092.791666666657</v>
      </c>
      <c r="B331">
        <v>22.664468110210091</v>
      </c>
      <c r="C331">
        <v>43.769738886581607</v>
      </c>
      <c r="D331">
        <v>922.95474475169601</v>
      </c>
      <c r="E331">
        <v>4.3665021599748837</v>
      </c>
      <c r="F331">
        <v>1.6263177060767351</v>
      </c>
      <c r="G331">
        <f t="shared" si="5"/>
        <v>19</v>
      </c>
      <c r="H331" t="str" cm="1">
        <f t="array" ref="H331">_xlfn.IFS(AND(G331&gt;=6,G331&lt;=12),"上",AND(G331&gt;=13,G331&lt;=18),"下",AND(G331&gt;=19,G331&lt;=24),"晚",AND(G331&lt;=5),"晚")</f>
        <v>晚</v>
      </c>
    </row>
    <row r="332" spans="1:8" x14ac:dyDescent="0.3">
      <c r="A332" s="2">
        <v>45224.125</v>
      </c>
      <c r="B332">
        <v>26.388649039268319</v>
      </c>
      <c r="C332">
        <v>40.903351859375647</v>
      </c>
      <c r="D332">
        <v>461.83270455368461</v>
      </c>
      <c r="E332">
        <v>1.5445092129871349</v>
      </c>
      <c r="F332">
        <v>0.33559500521089042</v>
      </c>
      <c r="G332">
        <f t="shared" si="5"/>
        <v>3</v>
      </c>
      <c r="H332" t="str" cm="1">
        <f t="array" ref="H332">_xlfn.IFS(AND(G332&gt;=6,G332&lt;=12),"上",AND(G332&gt;=13,G332&lt;=18),"下",AND(G332&gt;=19,G332&lt;=24),"晚",AND(G332&lt;=5),"晚")</f>
        <v>晚</v>
      </c>
    </row>
    <row r="333" spans="1:8" x14ac:dyDescent="0.3">
      <c r="A333" s="2">
        <v>45242.75</v>
      </c>
      <c r="B333">
        <v>23.80574663015831</v>
      </c>
      <c r="C333">
        <v>43.998453716498346</v>
      </c>
      <c r="D333">
        <v>577.19419109279841</v>
      </c>
      <c r="E333">
        <v>1.1023062390046829</v>
      </c>
      <c r="F333">
        <v>1.755790982853306</v>
      </c>
      <c r="G333">
        <f t="shared" si="5"/>
        <v>18</v>
      </c>
      <c r="H333" t="str" cm="1">
        <f t="array" ref="H333">_xlfn.IFS(AND(G333&gt;=6,G333&lt;=12),"上",AND(G333&gt;=13,G333&lt;=18),"下",AND(G333&gt;=19,G333&lt;=24),"晚",AND(G333&lt;=5),"晚")</f>
        <v>下</v>
      </c>
    </row>
    <row r="334" spans="1:8" x14ac:dyDescent="0.3">
      <c r="A334" s="2">
        <v>45005.375</v>
      </c>
      <c r="B334">
        <v>27.652449460248011</v>
      </c>
      <c r="C334">
        <v>46.327125768637217</v>
      </c>
      <c r="D334">
        <v>249.62064158450829</v>
      </c>
      <c r="E334">
        <v>2.6127828660339421</v>
      </c>
      <c r="F334">
        <v>1.067369539406932</v>
      </c>
      <c r="G334">
        <f t="shared" si="5"/>
        <v>9</v>
      </c>
      <c r="H334" t="str" cm="1">
        <f t="array" ref="H334">_xlfn.IFS(AND(G334&gt;=6,G334&lt;=12),"上",AND(G334&gt;=13,G334&lt;=18),"下",AND(G334&gt;=19,G334&lt;=24),"晚",AND(G334&lt;=5),"晚")</f>
        <v>上</v>
      </c>
    </row>
    <row r="335" spans="1:8" x14ac:dyDescent="0.3">
      <c r="A335" s="2">
        <v>45259.708333333343</v>
      </c>
      <c r="B335">
        <v>25.360424408076259</v>
      </c>
      <c r="C335">
        <v>63.072298940193591</v>
      </c>
      <c r="D335">
        <v>131.53959771262529</v>
      </c>
      <c r="E335">
        <v>4.1002410499035102</v>
      </c>
      <c r="F335">
        <v>1.1370607580170899</v>
      </c>
      <c r="G335">
        <f t="shared" si="5"/>
        <v>17</v>
      </c>
      <c r="H335" t="str" cm="1">
        <f t="array" ref="H335">_xlfn.IFS(AND(G335&gt;=6,G335&lt;=12),"上",AND(G335&gt;=13,G335&lt;=18),"下",AND(G335&gt;=19,G335&lt;=24),"晚",AND(G335&lt;=5),"晚")</f>
        <v>下</v>
      </c>
    </row>
    <row r="336" spans="1:8" x14ac:dyDescent="0.3">
      <c r="A336" s="2">
        <v>45182.25</v>
      </c>
      <c r="B336">
        <v>28.569970748307679</v>
      </c>
      <c r="C336">
        <v>58.437442030817813</v>
      </c>
      <c r="D336">
        <v>182.57936014389199</v>
      </c>
      <c r="E336">
        <v>2.393694672551355</v>
      </c>
      <c r="F336">
        <v>1.853083644576152</v>
      </c>
      <c r="G336">
        <f t="shared" si="5"/>
        <v>6</v>
      </c>
      <c r="H336" t="str" cm="1">
        <f t="array" ref="H336">_xlfn.IFS(AND(G336&gt;=6,G336&lt;=12),"上",AND(G336&gt;=13,G336&lt;=18),"下",AND(G336&gt;=19,G336&lt;=24),"晚",AND(G336&lt;=5),"晚")</f>
        <v>上</v>
      </c>
    </row>
    <row r="337" spans="1:8" x14ac:dyDescent="0.3">
      <c r="A337" s="2">
        <v>45145.458333333343</v>
      </c>
      <c r="B337">
        <v>21.110260154079128</v>
      </c>
      <c r="C337">
        <v>63.073694577601792</v>
      </c>
      <c r="D337">
        <v>101.960409335958</v>
      </c>
      <c r="E337">
        <v>4.4011525263772642</v>
      </c>
      <c r="F337">
        <v>1.397091789689584</v>
      </c>
      <c r="G337">
        <f t="shared" si="5"/>
        <v>11</v>
      </c>
      <c r="H337" t="str" cm="1">
        <f t="array" ref="H337">_xlfn.IFS(AND(G337&gt;=6,G337&lt;=12),"上",AND(G337&gt;=13,G337&lt;=18),"下",AND(G337&gt;=19,G337&lt;=24),"晚",AND(G337&lt;=5),"晚")</f>
        <v>上</v>
      </c>
    </row>
    <row r="338" spans="1:8" x14ac:dyDescent="0.3">
      <c r="A338" s="2">
        <v>45145.625</v>
      </c>
      <c r="B338">
        <v>27.337467724623998</v>
      </c>
      <c r="C338">
        <v>67.005455844832369</v>
      </c>
      <c r="D338">
        <v>793.56323059038175</v>
      </c>
      <c r="E338">
        <v>3.6534801390759921</v>
      </c>
      <c r="F338">
        <v>0.2485201210852965</v>
      </c>
      <c r="G338">
        <f t="shared" si="5"/>
        <v>15</v>
      </c>
      <c r="H338" t="str" cm="1">
        <f t="array" ref="H338">_xlfn.IFS(AND(G338&gt;=6,G338&lt;=12),"上",AND(G338&gt;=13,G338&lt;=18),"下",AND(G338&gt;=19,G338&lt;=24),"晚",AND(G338&lt;=5),"晚")</f>
        <v>下</v>
      </c>
    </row>
    <row r="339" spans="1:8" x14ac:dyDescent="0.3">
      <c r="A339" s="2">
        <v>45146.208333333343</v>
      </c>
      <c r="B339">
        <v>24.646399700689681</v>
      </c>
      <c r="C339">
        <v>62.591886351984748</v>
      </c>
      <c r="D339">
        <v>783.66900016219495</v>
      </c>
      <c r="E339">
        <v>3.8355968563827281</v>
      </c>
      <c r="F339">
        <v>0.58052145994362214</v>
      </c>
      <c r="G339">
        <f t="shared" si="5"/>
        <v>5</v>
      </c>
      <c r="H339" t="str" cm="1">
        <f t="array" ref="H339">_xlfn.IFS(AND(G339&gt;=6,G339&lt;=12),"上",AND(G339&gt;=13,G339&lt;=18),"下",AND(G339&gt;=19,G339&lt;=24),"晚",AND(G339&lt;=5),"晚")</f>
        <v>晚</v>
      </c>
    </row>
    <row r="340" spans="1:8" x14ac:dyDescent="0.3">
      <c r="A340" s="2">
        <v>45099.916666666657</v>
      </c>
      <c r="B340">
        <v>25.193909558246361</v>
      </c>
      <c r="C340">
        <v>68.491102993161803</v>
      </c>
      <c r="D340">
        <v>475.08096204338767</v>
      </c>
      <c r="E340">
        <v>3.0676737645597889</v>
      </c>
      <c r="F340">
        <v>1.450456359104868</v>
      </c>
      <c r="G340">
        <f t="shared" si="5"/>
        <v>22</v>
      </c>
      <c r="H340" t="str" cm="1">
        <f t="array" ref="H340">_xlfn.IFS(AND(G340&gt;=6,G340&lt;=12),"上",AND(G340&gt;=13,G340&lt;=18),"下",AND(G340&gt;=19,G340&lt;=24),"晚",AND(G340&lt;=5),"晚")</f>
        <v>晚</v>
      </c>
    </row>
    <row r="341" spans="1:8" x14ac:dyDescent="0.3">
      <c r="A341" s="2">
        <v>44951.333333333343</v>
      </c>
      <c r="B341">
        <v>22.84045562122175</v>
      </c>
      <c r="C341">
        <v>67.994457582179848</v>
      </c>
      <c r="D341">
        <v>647.77047389955158</v>
      </c>
      <c r="E341">
        <v>3.357562319227986</v>
      </c>
      <c r="F341">
        <v>0.27692998830127902</v>
      </c>
      <c r="G341">
        <f t="shared" si="5"/>
        <v>8</v>
      </c>
      <c r="H341" t="str" cm="1">
        <f t="array" ref="H341">_xlfn.IFS(AND(G341&gt;=6,G341&lt;=12),"上",AND(G341&gt;=13,G341&lt;=18),"下",AND(G341&gt;=19,G341&lt;=24),"晚",AND(G341&lt;=5),"晚")</f>
        <v>上</v>
      </c>
    </row>
    <row r="342" spans="1:8" x14ac:dyDescent="0.3">
      <c r="A342" s="2">
        <v>44963.916666666657</v>
      </c>
      <c r="B342">
        <v>22.690631536826121</v>
      </c>
      <c r="C342">
        <v>42.838471370259413</v>
      </c>
      <c r="D342">
        <v>235.0398543837093</v>
      </c>
      <c r="E342">
        <v>1.6551823783374771</v>
      </c>
      <c r="F342">
        <v>0.59646384575865974</v>
      </c>
      <c r="G342">
        <f t="shared" si="5"/>
        <v>22</v>
      </c>
      <c r="H342" t="str" cm="1">
        <f t="array" ref="H342">_xlfn.IFS(AND(G342&gt;=6,G342&lt;=12),"上",AND(G342&gt;=13,G342&lt;=18),"下",AND(G342&gt;=19,G342&lt;=24),"晚",AND(G342&lt;=5),"晚")</f>
        <v>晚</v>
      </c>
    </row>
    <row r="343" spans="1:8" x14ac:dyDescent="0.3">
      <c r="A343" s="2">
        <v>44947.333333333343</v>
      </c>
      <c r="B343">
        <v>21.898038153883832</v>
      </c>
      <c r="C343">
        <v>45.692282371253711</v>
      </c>
      <c r="D343">
        <v>860.0945351211459</v>
      </c>
      <c r="E343">
        <v>4.5499955768518836</v>
      </c>
      <c r="F343">
        <v>0.60100546692595624</v>
      </c>
      <c r="G343">
        <f t="shared" si="5"/>
        <v>8</v>
      </c>
      <c r="H343" t="str" cm="1">
        <f t="array" ref="H343">_xlfn.IFS(AND(G343&gt;=6,G343&lt;=12),"上",AND(G343&gt;=13,G343&lt;=18),"下",AND(G343&gt;=19,G343&lt;=24),"晚",AND(G343&lt;=5),"晚")</f>
        <v>上</v>
      </c>
    </row>
    <row r="344" spans="1:8" x14ac:dyDescent="0.3">
      <c r="A344" s="2">
        <v>45290.125</v>
      </c>
      <c r="B344">
        <v>23.733456825587741</v>
      </c>
      <c r="C344">
        <v>53.008231777309241</v>
      </c>
      <c r="D344">
        <v>658.95949682921207</v>
      </c>
      <c r="E344">
        <v>2.7030375690825981</v>
      </c>
      <c r="F344">
        <v>1.444646274140527</v>
      </c>
      <c r="G344">
        <f t="shared" si="5"/>
        <v>3</v>
      </c>
      <c r="H344" t="str" cm="1">
        <f t="array" ref="H344">_xlfn.IFS(AND(G344&gt;=6,G344&lt;=12),"上",AND(G344&gt;=13,G344&lt;=18),"下",AND(G344&gt;=19,G344&lt;=24),"晚",AND(G344&lt;=5),"晚")</f>
        <v>晚</v>
      </c>
    </row>
    <row r="345" spans="1:8" x14ac:dyDescent="0.3">
      <c r="A345" s="2">
        <v>44996.791666666657</v>
      </c>
      <c r="B345">
        <v>22.389878449924971</v>
      </c>
      <c r="C345">
        <v>57.621847852206031</v>
      </c>
      <c r="D345">
        <v>417.12961182440301</v>
      </c>
      <c r="E345">
        <v>2.7555769701989332</v>
      </c>
      <c r="F345">
        <v>0.19808425111795311</v>
      </c>
      <c r="G345">
        <f t="shared" si="5"/>
        <v>19</v>
      </c>
      <c r="H345" t="str" cm="1">
        <f t="array" ref="H345">_xlfn.IFS(AND(G345&gt;=6,G345&lt;=12),"上",AND(G345&gt;=13,G345&lt;=18),"下",AND(G345&gt;=19,G345&lt;=24),"晚",AND(G345&lt;=5),"晚")</f>
        <v>晚</v>
      </c>
    </row>
    <row r="346" spans="1:8" x14ac:dyDescent="0.3">
      <c r="A346" s="2">
        <v>45248.208333333343</v>
      </c>
      <c r="B346">
        <v>21.89728076298643</v>
      </c>
      <c r="C346">
        <v>48.588226831948333</v>
      </c>
      <c r="D346">
        <v>870.66020557578884</v>
      </c>
      <c r="E346">
        <v>3.713888744455295</v>
      </c>
      <c r="F346">
        <v>0.75546416940499805</v>
      </c>
      <c r="G346">
        <f t="shared" si="5"/>
        <v>5</v>
      </c>
      <c r="H346" t="str" cm="1">
        <f t="array" ref="H346">_xlfn.IFS(AND(G346&gt;=6,G346&lt;=12),"上",AND(G346&gt;=13,G346&lt;=18),"下",AND(G346&gt;=19,G346&lt;=24),"晚",AND(G346&lt;=5),"晚")</f>
        <v>晚</v>
      </c>
    </row>
    <row r="347" spans="1:8" x14ac:dyDescent="0.3">
      <c r="A347" s="2">
        <v>44956.916666666657</v>
      </c>
      <c r="B347">
        <v>29.617959126059919</v>
      </c>
      <c r="C347">
        <v>61.510761140962607</v>
      </c>
      <c r="D347">
        <v>739.56563236898853</v>
      </c>
      <c r="E347">
        <v>4.5535754500392924</v>
      </c>
      <c r="F347">
        <v>0.91010856096533155</v>
      </c>
      <c r="G347">
        <f t="shared" si="5"/>
        <v>22</v>
      </c>
      <c r="H347" t="str" cm="1">
        <f t="array" ref="H347">_xlfn.IFS(AND(G347&gt;=6,G347&lt;=12),"上",AND(G347&gt;=13,G347&lt;=18),"下",AND(G347&gt;=19,G347&lt;=24),"晚",AND(G347&lt;=5),"晚")</f>
        <v>晚</v>
      </c>
    </row>
    <row r="348" spans="1:8" x14ac:dyDescent="0.3">
      <c r="A348" s="2">
        <v>45008.458333333343</v>
      </c>
      <c r="B348">
        <v>24.47414282482659</v>
      </c>
      <c r="C348">
        <v>55.280272514045897</v>
      </c>
      <c r="D348">
        <v>476.44933193648097</v>
      </c>
      <c r="E348">
        <v>3.9761792285441779</v>
      </c>
      <c r="F348">
        <v>0.239256313844362</v>
      </c>
      <c r="G348">
        <f t="shared" si="5"/>
        <v>11</v>
      </c>
      <c r="H348" t="str" cm="1">
        <f t="array" ref="H348">_xlfn.IFS(AND(G348&gt;=6,G348&lt;=12),"上",AND(G348&gt;=13,G348&lt;=18),"下",AND(G348&gt;=19,G348&lt;=24),"晚",AND(G348&lt;=5),"晚")</f>
        <v>上</v>
      </c>
    </row>
    <row r="349" spans="1:8" x14ac:dyDescent="0.3">
      <c r="A349" s="2">
        <v>44980.833333333343</v>
      </c>
      <c r="B349">
        <v>26.781223326131219</v>
      </c>
      <c r="C349">
        <v>53.834811159028007</v>
      </c>
      <c r="D349">
        <v>426.80933686888523</v>
      </c>
      <c r="E349">
        <v>2.765391139748647</v>
      </c>
      <c r="F349">
        <v>0.97096292271735651</v>
      </c>
      <c r="G349">
        <f t="shared" si="5"/>
        <v>20</v>
      </c>
      <c r="H349" t="str" cm="1">
        <f t="array" ref="H349">_xlfn.IFS(AND(G349&gt;=6,G349&lt;=12),"上",AND(G349&gt;=13,G349&lt;=18),"下",AND(G349&gt;=19,G349&lt;=24),"晚",AND(G349&lt;=5),"晚")</f>
        <v>晚</v>
      </c>
    </row>
    <row r="350" spans="1:8" x14ac:dyDescent="0.3">
      <c r="A350" s="2">
        <v>45038.083333333343</v>
      </c>
      <c r="B350">
        <v>23.741481585076791</v>
      </c>
      <c r="C350">
        <v>35.815804759661567</v>
      </c>
      <c r="D350">
        <v>281.36361811931829</v>
      </c>
      <c r="E350">
        <v>2.8495104487708112</v>
      </c>
      <c r="F350">
        <v>1.109674679281937</v>
      </c>
      <c r="G350">
        <f t="shared" si="5"/>
        <v>2</v>
      </c>
      <c r="H350" t="str" cm="1">
        <f t="array" ref="H350">_xlfn.IFS(AND(G350&gt;=6,G350&lt;=12),"上",AND(G350&gt;=13,G350&lt;=18),"下",AND(G350&gt;=19,G350&lt;=24),"晚",AND(G350&lt;=5),"晚")</f>
        <v>晚</v>
      </c>
    </row>
    <row r="351" spans="1:8" x14ac:dyDescent="0.3">
      <c r="A351" s="2">
        <v>45270.333333333343</v>
      </c>
      <c r="B351">
        <v>25.697937438063871</v>
      </c>
      <c r="C351">
        <v>36.852577229198523</v>
      </c>
      <c r="D351">
        <v>257.30989417063358</v>
      </c>
      <c r="E351">
        <v>2.1134225718409829</v>
      </c>
      <c r="F351">
        <v>1.944555250804797</v>
      </c>
      <c r="G351">
        <f t="shared" si="5"/>
        <v>8</v>
      </c>
      <c r="H351" t="str" cm="1">
        <f t="array" ref="H351">_xlfn.IFS(AND(G351&gt;=6,G351&lt;=12),"上",AND(G351&gt;=13,G351&lt;=18),"下",AND(G351&gt;=19,G351&lt;=24),"晚",AND(G351&lt;=5),"晚")</f>
        <v>上</v>
      </c>
    </row>
    <row r="352" spans="1:8" x14ac:dyDescent="0.3">
      <c r="A352" s="2">
        <v>45137.333333333343</v>
      </c>
      <c r="B352">
        <v>24.99202109033633</v>
      </c>
      <c r="C352">
        <v>42.5314891624637</v>
      </c>
      <c r="D352">
        <v>506.33566875616219</v>
      </c>
      <c r="E352">
        <v>1.233567931257127</v>
      </c>
      <c r="F352">
        <v>1.7596845435882089</v>
      </c>
      <c r="G352">
        <f t="shared" si="5"/>
        <v>8</v>
      </c>
      <c r="H352" t="str" cm="1">
        <f t="array" ref="H352">_xlfn.IFS(AND(G352&gt;=6,G352&lt;=12),"上",AND(G352&gt;=13,G352&lt;=18),"下",AND(G352&gt;=19,G352&lt;=24),"晚",AND(G352&lt;=5),"晚")</f>
        <v>上</v>
      </c>
    </row>
    <row r="353" spans="1:8" x14ac:dyDescent="0.3">
      <c r="A353" s="2">
        <v>44995</v>
      </c>
      <c r="B353">
        <v>26.126881483507908</v>
      </c>
      <c r="C353">
        <v>68.49900016220225</v>
      </c>
      <c r="D353">
        <v>432.9781600585996</v>
      </c>
      <c r="E353">
        <v>4.7587384365965004</v>
      </c>
      <c r="F353">
        <v>1.8680510584847361</v>
      </c>
      <c r="G353">
        <f t="shared" si="5"/>
        <v>0</v>
      </c>
      <c r="H353" t="str" cm="1">
        <f t="array" ref="H353">_xlfn.IFS(AND(G353&gt;=6,G353&lt;=12),"上",AND(G353&gt;=13,G353&lt;=18),"下",AND(G353&gt;=19,G353&lt;=24),"晚",AND(G353&lt;=5),"晚")</f>
        <v>晚</v>
      </c>
    </row>
    <row r="354" spans="1:8" x14ac:dyDescent="0.3">
      <c r="A354" s="2">
        <v>45264.375</v>
      </c>
      <c r="B354">
        <v>27.227287544489251</v>
      </c>
      <c r="C354">
        <v>33.048413920354591</v>
      </c>
      <c r="D354">
        <v>155.2491127267084</v>
      </c>
      <c r="E354">
        <v>1.3984911233105759</v>
      </c>
      <c r="F354">
        <v>0.61438693979301851</v>
      </c>
      <c r="G354">
        <f t="shared" si="5"/>
        <v>9</v>
      </c>
      <c r="H354" t="str" cm="1">
        <f t="array" ref="H354">_xlfn.IFS(AND(G354&gt;=6,G354&lt;=12),"上",AND(G354&gt;=13,G354&lt;=18),"下",AND(G354&gt;=19,G354&lt;=24),"晚",AND(G354&lt;=5),"晚")</f>
        <v>上</v>
      </c>
    </row>
    <row r="355" spans="1:8" x14ac:dyDescent="0.3">
      <c r="A355" s="2">
        <v>45173.791666666657</v>
      </c>
      <c r="B355">
        <v>26.639092057513139</v>
      </c>
      <c r="C355">
        <v>68.410049508647532</v>
      </c>
      <c r="D355">
        <v>379.13412924932629</v>
      </c>
      <c r="E355">
        <v>2.0821033544499632</v>
      </c>
      <c r="F355">
        <v>0.38531775565961057</v>
      </c>
      <c r="G355">
        <f t="shared" si="5"/>
        <v>19</v>
      </c>
      <c r="H355" t="str" cm="1">
        <f t="array" ref="H355">_xlfn.IFS(AND(G355&gt;=6,G355&lt;=12),"上",AND(G355&gt;=13,G355&lt;=18),"下",AND(G355&gt;=19,G355&lt;=24),"晚",AND(G355&lt;=5),"晚")</f>
        <v>晚</v>
      </c>
    </row>
    <row r="356" spans="1:8" x14ac:dyDescent="0.3">
      <c r="A356" s="2">
        <v>45008.875</v>
      </c>
      <c r="B356">
        <v>27.62103388649702</v>
      </c>
      <c r="C356">
        <v>49.084289256640638</v>
      </c>
      <c r="D356">
        <v>220.3654714690679</v>
      </c>
      <c r="E356">
        <v>4.7897939530427749</v>
      </c>
      <c r="F356">
        <v>1.3131354916205129</v>
      </c>
      <c r="G356">
        <f t="shared" si="5"/>
        <v>21</v>
      </c>
      <c r="H356" t="str" cm="1">
        <f t="array" ref="H356">_xlfn.IFS(AND(G356&gt;=6,G356&lt;=12),"上",AND(G356&gt;=13,G356&lt;=18),"下",AND(G356&gt;=19,G356&lt;=24),"晚",AND(G356&lt;=5),"晚")</f>
        <v>晚</v>
      </c>
    </row>
    <row r="357" spans="1:8" x14ac:dyDescent="0.3">
      <c r="A357" s="2">
        <v>45019.125</v>
      </c>
      <c r="B357">
        <v>21.463044079122529</v>
      </c>
      <c r="C357">
        <v>47.438450127793203</v>
      </c>
      <c r="D357">
        <v>821.87585441987005</v>
      </c>
      <c r="E357">
        <v>3.3111000118278828</v>
      </c>
      <c r="F357">
        <v>0.48289727915930508</v>
      </c>
      <c r="G357">
        <f t="shared" si="5"/>
        <v>3</v>
      </c>
      <c r="H357" t="str" cm="1">
        <f t="array" ref="H357">_xlfn.IFS(AND(G357&gt;=6,G357&lt;=12),"上",AND(G357&gt;=13,G357&lt;=18),"下",AND(G357&gt;=19,G357&lt;=24),"晚",AND(G357&lt;=5),"晚")</f>
        <v>晚</v>
      </c>
    </row>
    <row r="358" spans="1:8" x14ac:dyDescent="0.3">
      <c r="A358" s="2">
        <v>45094.041666666657</v>
      </c>
      <c r="B358">
        <v>20.94031140503543</v>
      </c>
      <c r="C358">
        <v>63.875194556156671</v>
      </c>
      <c r="D358">
        <v>530.39452328806874</v>
      </c>
      <c r="E358">
        <v>4.4122792247444984</v>
      </c>
      <c r="F358">
        <v>1.214315963910334</v>
      </c>
      <c r="G358">
        <f t="shared" si="5"/>
        <v>1</v>
      </c>
      <c r="H358" t="str" cm="1">
        <f t="array" ref="H358">_xlfn.IFS(AND(G358&gt;=6,G358&lt;=12),"上",AND(G358&gt;=13,G358&lt;=18),"下",AND(G358&gt;=19,G358&lt;=24),"晚",AND(G358&lt;=5),"晚")</f>
        <v>晚</v>
      </c>
    </row>
    <row r="359" spans="1:8" x14ac:dyDescent="0.3">
      <c r="A359" s="2">
        <v>44938.625</v>
      </c>
      <c r="B359">
        <v>23.388994330792571</v>
      </c>
      <c r="C359">
        <v>63.259045920441551</v>
      </c>
      <c r="D359">
        <v>265.73447704619662</v>
      </c>
      <c r="E359">
        <v>3.7804994021917642</v>
      </c>
      <c r="F359">
        <v>0.47187718589996852</v>
      </c>
      <c r="G359">
        <f t="shared" si="5"/>
        <v>15</v>
      </c>
      <c r="H359" t="str" cm="1">
        <f t="array" ref="H359">_xlfn.IFS(AND(G359&gt;=6,G359&lt;=12),"上",AND(G359&gt;=13,G359&lt;=18),"下",AND(G359&gt;=19,G359&lt;=24),"晚",AND(G359&lt;=5),"晚")</f>
        <v>下</v>
      </c>
    </row>
    <row r="360" spans="1:8" x14ac:dyDescent="0.3">
      <c r="A360" s="2">
        <v>45042.041666666657</v>
      </c>
      <c r="B360">
        <v>24.818278608750909</v>
      </c>
      <c r="C360">
        <v>35.359360353277509</v>
      </c>
      <c r="D360">
        <v>245.28832119406761</v>
      </c>
      <c r="E360">
        <v>1.1856139601060951</v>
      </c>
      <c r="F360">
        <v>0.2237736503114422</v>
      </c>
      <c r="G360">
        <f t="shared" si="5"/>
        <v>1</v>
      </c>
      <c r="H360" t="str" cm="1">
        <f t="array" ref="H360">_xlfn.IFS(AND(G360&gt;=6,G360&lt;=12),"上",AND(G360&gt;=13,G360&lt;=18),"下",AND(G360&gt;=19,G360&lt;=24),"晚",AND(G360&lt;=5),"晚")</f>
        <v>晚</v>
      </c>
    </row>
    <row r="361" spans="1:8" x14ac:dyDescent="0.3">
      <c r="A361" s="2">
        <v>44936.958333333343</v>
      </c>
      <c r="B361">
        <v>22.244025864293231</v>
      </c>
      <c r="C361">
        <v>62.469775995894572</v>
      </c>
      <c r="D361">
        <v>836.76930521558245</v>
      </c>
      <c r="E361">
        <v>1.5992833977404439</v>
      </c>
      <c r="F361">
        <v>0.95295597644646324</v>
      </c>
      <c r="G361">
        <f t="shared" si="5"/>
        <v>23</v>
      </c>
      <c r="H361" t="str" cm="1">
        <f t="array" ref="H361">_xlfn.IFS(AND(G361&gt;=6,G361&lt;=12),"上",AND(G361&gt;=13,G361&lt;=18),"下",AND(G361&gt;=19,G361&lt;=24),"晚",AND(G361&lt;=5),"晚")</f>
        <v>晚</v>
      </c>
    </row>
    <row r="362" spans="1:8" x14ac:dyDescent="0.3">
      <c r="A362" s="2">
        <v>44929.083333333343</v>
      </c>
      <c r="B362">
        <v>27.732245299699478</v>
      </c>
      <c r="C362">
        <v>50.428134500070271</v>
      </c>
      <c r="D362">
        <v>601.1098714719185</v>
      </c>
      <c r="E362">
        <v>1.4701518500799311</v>
      </c>
      <c r="F362">
        <v>1.3092546288575519</v>
      </c>
      <c r="G362">
        <f t="shared" si="5"/>
        <v>2</v>
      </c>
      <c r="H362" t="str" cm="1">
        <f t="array" ref="H362">_xlfn.IFS(AND(G362&gt;=6,G362&lt;=12),"上",AND(G362&gt;=13,G362&lt;=18),"下",AND(G362&gt;=19,G362&lt;=24),"晚",AND(G362&lt;=5),"晚")</f>
        <v>晚</v>
      </c>
    </row>
    <row r="363" spans="1:8" x14ac:dyDescent="0.3">
      <c r="A363" s="2">
        <v>45202.125</v>
      </c>
      <c r="B363">
        <v>27.19555944223092</v>
      </c>
      <c r="C363">
        <v>42.925083793481861</v>
      </c>
      <c r="D363">
        <v>552.62502362611338</v>
      </c>
      <c r="E363">
        <v>2.925133757539053</v>
      </c>
      <c r="F363">
        <v>0.2788558649295993</v>
      </c>
      <c r="G363">
        <f t="shared" si="5"/>
        <v>3</v>
      </c>
      <c r="H363" t="str" cm="1">
        <f t="array" ref="H363">_xlfn.IFS(AND(G363&gt;=6,G363&lt;=12),"上",AND(G363&gt;=13,G363&lt;=18),"下",AND(G363&gt;=19,G363&lt;=24),"晚",AND(G363&lt;=5),"晚")</f>
        <v>晚</v>
      </c>
    </row>
    <row r="364" spans="1:8" x14ac:dyDescent="0.3">
      <c r="A364" s="2">
        <v>45075.875</v>
      </c>
      <c r="B364">
        <v>29.135789182968011</v>
      </c>
      <c r="C364">
        <v>34.335169166203499</v>
      </c>
      <c r="D364">
        <v>503.19911470790021</v>
      </c>
      <c r="E364">
        <v>4.2656385040250813</v>
      </c>
      <c r="F364">
        <v>1.144464285075643</v>
      </c>
      <c r="G364">
        <f t="shared" si="5"/>
        <v>21</v>
      </c>
      <c r="H364" t="str" cm="1">
        <f t="array" ref="H364">_xlfn.IFS(AND(G364&gt;=6,G364&lt;=12),"上",AND(G364&gt;=13,G364&lt;=18),"下",AND(G364&gt;=19,G364&lt;=24),"晚",AND(G364&lt;=5),"晚")</f>
        <v>晚</v>
      </c>
    </row>
    <row r="365" spans="1:8" x14ac:dyDescent="0.3">
      <c r="A365" s="2">
        <v>45216.041666666657</v>
      </c>
      <c r="B365">
        <v>27.28960197645327</v>
      </c>
      <c r="C365">
        <v>53.689109537982937</v>
      </c>
      <c r="D365">
        <v>770.05206172904457</v>
      </c>
      <c r="E365">
        <v>3.8727374837440842</v>
      </c>
      <c r="F365">
        <v>0.92998628270069639</v>
      </c>
      <c r="G365">
        <f t="shared" si="5"/>
        <v>1</v>
      </c>
      <c r="H365" t="str" cm="1">
        <f t="array" ref="H365">_xlfn.IFS(AND(G365&gt;=6,G365&lt;=12),"上",AND(G365&gt;=13,G365&lt;=18),"下",AND(G365&gt;=19,G365&lt;=24),"晚",AND(G365&lt;=5),"晚")</f>
        <v>晚</v>
      </c>
    </row>
    <row r="366" spans="1:8" x14ac:dyDescent="0.3">
      <c r="A366" s="2">
        <v>45139.375</v>
      </c>
      <c r="B366">
        <v>21.07145317861897</v>
      </c>
      <c r="C366">
        <v>61.213260231880582</v>
      </c>
      <c r="D366">
        <v>595.28623447551399</v>
      </c>
      <c r="E366">
        <v>1.828556600179041</v>
      </c>
      <c r="F366">
        <v>0.58495959583688073</v>
      </c>
      <c r="G366">
        <f t="shared" si="5"/>
        <v>9</v>
      </c>
      <c r="H366" t="str" cm="1">
        <f t="array" ref="H366">_xlfn.IFS(AND(G366&gt;=6,G366&lt;=12),"上",AND(G366&gt;=13,G366&lt;=18),"下",AND(G366&gt;=19,G366&lt;=24),"晚",AND(G366&lt;=5),"晚")</f>
        <v>上</v>
      </c>
    </row>
    <row r="367" spans="1:8" x14ac:dyDescent="0.3">
      <c r="A367" s="2">
        <v>45094.958333333343</v>
      </c>
      <c r="B367">
        <v>26.64994823834062</v>
      </c>
      <c r="C367">
        <v>65.426980625265628</v>
      </c>
      <c r="D367">
        <v>207.39352501804109</v>
      </c>
      <c r="E367">
        <v>2.6672255117390549</v>
      </c>
      <c r="F367">
        <v>0.42656797791195861</v>
      </c>
      <c r="G367">
        <f t="shared" si="5"/>
        <v>23</v>
      </c>
      <c r="H367" t="str" cm="1">
        <f t="array" ref="H367">_xlfn.IFS(AND(G367&gt;=6,G367&lt;=12),"上",AND(G367&gt;=13,G367&lt;=18),"下",AND(G367&gt;=19,G367&lt;=24),"晚",AND(G367&lt;=5),"晚")</f>
        <v>晚</v>
      </c>
    </row>
    <row r="368" spans="1:8" x14ac:dyDescent="0.3">
      <c r="A368" s="2">
        <v>45171.375</v>
      </c>
      <c r="B368">
        <v>24.120593377116151</v>
      </c>
      <c r="C368">
        <v>68.864764112250072</v>
      </c>
      <c r="D368">
        <v>162.51177485751521</v>
      </c>
      <c r="E368">
        <v>3.7931943604849732</v>
      </c>
      <c r="F368">
        <v>0.54521930437595689</v>
      </c>
      <c r="G368">
        <f t="shared" si="5"/>
        <v>9</v>
      </c>
      <c r="H368" t="str" cm="1">
        <f t="array" ref="H368">_xlfn.IFS(AND(G368&gt;=6,G368&lt;=12),"上",AND(G368&gt;=13,G368&lt;=18),"下",AND(G368&gt;=19,G368&lt;=24),"晚",AND(G368&lt;=5),"晚")</f>
        <v>上</v>
      </c>
    </row>
    <row r="369" spans="1:8" x14ac:dyDescent="0.3">
      <c r="A369" s="2">
        <v>45184.208333333343</v>
      </c>
      <c r="B369">
        <v>22.596147771366439</v>
      </c>
      <c r="C369">
        <v>34.927540844482998</v>
      </c>
      <c r="D369">
        <v>341.08599947982128</v>
      </c>
      <c r="E369">
        <v>4.5775468117537876</v>
      </c>
      <c r="F369">
        <v>1.8035619350735219</v>
      </c>
      <c r="G369">
        <f t="shared" si="5"/>
        <v>5</v>
      </c>
      <c r="H369" t="str" cm="1">
        <f t="array" ref="H369">_xlfn.IFS(AND(G369&gt;=6,G369&lt;=12),"上",AND(G369&gt;=13,G369&lt;=18),"下",AND(G369&gt;=19,G369&lt;=24),"晚",AND(G369&lt;=5),"晚")</f>
        <v>晚</v>
      </c>
    </row>
    <row r="370" spans="1:8" x14ac:dyDescent="0.3">
      <c r="A370" s="2">
        <v>44965.708333333343</v>
      </c>
      <c r="B370">
        <v>26.019514224019971</v>
      </c>
      <c r="C370">
        <v>45.871360014469047</v>
      </c>
      <c r="D370">
        <v>975.93759372931424</v>
      </c>
      <c r="E370">
        <v>4.6644968867577026</v>
      </c>
      <c r="F370">
        <v>0.1605538553959738</v>
      </c>
      <c r="G370">
        <f t="shared" si="5"/>
        <v>17</v>
      </c>
      <c r="H370" t="str" cm="1">
        <f t="array" ref="H370">_xlfn.IFS(AND(G370&gt;=6,G370&lt;=12),"上",AND(G370&gt;=13,G370&lt;=18),"下",AND(G370&gt;=19,G370&lt;=24),"晚",AND(G370&lt;=5),"晚")</f>
        <v>下</v>
      </c>
    </row>
    <row r="371" spans="1:8" x14ac:dyDescent="0.3">
      <c r="A371" s="2">
        <v>44957.208333333343</v>
      </c>
      <c r="B371">
        <v>23.02190167339327</v>
      </c>
      <c r="C371">
        <v>31.94705838676548</v>
      </c>
      <c r="D371">
        <v>173.505703051441</v>
      </c>
      <c r="E371">
        <v>3.0185326510762791</v>
      </c>
      <c r="F371">
        <v>0.3802205637233762</v>
      </c>
      <c r="G371">
        <f t="shared" si="5"/>
        <v>5</v>
      </c>
      <c r="H371" t="str" cm="1">
        <f t="array" ref="H371">_xlfn.IFS(AND(G371&gt;=6,G371&lt;=12),"上",AND(G371&gt;=13,G371&lt;=18),"下",AND(G371&gt;=19,G371&lt;=24),"晚",AND(G371&lt;=5),"晚")</f>
        <v>晚</v>
      </c>
    </row>
    <row r="372" spans="1:8" x14ac:dyDescent="0.3">
      <c r="A372" s="2">
        <v>45114.5</v>
      </c>
      <c r="B372">
        <v>25.30856325680875</v>
      </c>
      <c r="C372">
        <v>55.429759335803013</v>
      </c>
      <c r="D372">
        <v>584.19133503626563</v>
      </c>
      <c r="E372">
        <v>2.6648051445947698</v>
      </c>
      <c r="F372">
        <v>1.084522753002666</v>
      </c>
      <c r="G372">
        <f t="shared" si="5"/>
        <v>12</v>
      </c>
      <c r="H372" t="str" cm="1">
        <f t="array" ref="H372">_xlfn.IFS(AND(G372&gt;=6,G372&lt;=12),"上",AND(G372&gt;=13,G372&lt;=18),"下",AND(G372&gt;=19,G372&lt;=24),"晚",AND(G372&lt;=5),"晚")</f>
        <v>上</v>
      </c>
    </row>
    <row r="373" spans="1:8" x14ac:dyDescent="0.3">
      <c r="A373" s="2">
        <v>45025.541666666657</v>
      </c>
      <c r="B373">
        <v>25.759773853564091</v>
      </c>
      <c r="C373">
        <v>65.506784385774665</v>
      </c>
      <c r="D373">
        <v>928.77327349955851</v>
      </c>
      <c r="E373">
        <v>3.6069055800062721</v>
      </c>
      <c r="F373">
        <v>1.3970177405637869</v>
      </c>
      <c r="G373">
        <f t="shared" si="5"/>
        <v>13</v>
      </c>
      <c r="H373" t="str" cm="1">
        <f t="array" ref="H373">_xlfn.IFS(AND(G373&gt;=6,G373&lt;=12),"上",AND(G373&gt;=13,G373&lt;=18),"下",AND(G373&gt;=19,G373&lt;=24),"晚",AND(G373&lt;=5),"晚")</f>
        <v>下</v>
      </c>
    </row>
    <row r="374" spans="1:8" x14ac:dyDescent="0.3">
      <c r="A374" s="2">
        <v>45079.833333333343</v>
      </c>
      <c r="B374">
        <v>25.290669153175489</v>
      </c>
      <c r="C374">
        <v>57.4905227552524</v>
      </c>
      <c r="D374">
        <v>169.17083124285281</v>
      </c>
      <c r="E374">
        <v>3.6502096846984919</v>
      </c>
      <c r="F374">
        <v>0.87960740440098106</v>
      </c>
      <c r="G374">
        <f t="shared" si="5"/>
        <v>20</v>
      </c>
      <c r="H374" t="str" cm="1">
        <f t="array" ref="H374">_xlfn.IFS(AND(G374&gt;=6,G374&lt;=12),"上",AND(G374&gt;=13,G374&lt;=18),"下",AND(G374&gt;=19,G374&lt;=24),"晚",AND(G374&lt;=5),"晚")</f>
        <v>晚</v>
      </c>
    </row>
    <row r="375" spans="1:8" x14ac:dyDescent="0.3">
      <c r="A375" s="2">
        <v>45115.458333333343</v>
      </c>
      <c r="B375">
        <v>20.106865202535278</v>
      </c>
      <c r="C375">
        <v>45.548365439349723</v>
      </c>
      <c r="D375">
        <v>271.2325966508929</v>
      </c>
      <c r="E375">
        <v>4.8931280606048917</v>
      </c>
      <c r="F375">
        <v>0.55667988294408399</v>
      </c>
      <c r="G375">
        <f t="shared" si="5"/>
        <v>11</v>
      </c>
      <c r="H375" t="str" cm="1">
        <f t="array" ref="H375">_xlfn.IFS(AND(G375&gt;=6,G375&lt;=12),"上",AND(G375&gt;=13,G375&lt;=18),"下",AND(G375&gt;=19,G375&lt;=24),"晚",AND(G375&lt;=5),"晚")</f>
        <v>上</v>
      </c>
    </row>
    <row r="376" spans="1:8" x14ac:dyDescent="0.3">
      <c r="A376" s="2">
        <v>45284.291666666657</v>
      </c>
      <c r="B376">
        <v>23.48738914166999</v>
      </c>
      <c r="C376">
        <v>60.396954239554489</v>
      </c>
      <c r="D376">
        <v>658.88940154567274</v>
      </c>
      <c r="E376">
        <v>2.992219080480786</v>
      </c>
      <c r="F376">
        <v>0.62126011696875671</v>
      </c>
      <c r="G376">
        <f t="shared" si="5"/>
        <v>7</v>
      </c>
      <c r="H376" t="str" cm="1">
        <f t="array" ref="H376">_xlfn.IFS(AND(G376&gt;=6,G376&lt;=12),"上",AND(G376&gt;=13,G376&lt;=18),"下",AND(G376&gt;=19,G376&lt;=24),"晚",AND(G376&lt;=5),"晚")</f>
        <v>上</v>
      </c>
    </row>
    <row r="377" spans="1:8" x14ac:dyDescent="0.3">
      <c r="A377" s="2">
        <v>45164.583333333343</v>
      </c>
      <c r="B377">
        <v>27.904622642826709</v>
      </c>
      <c r="C377">
        <v>69.864517728870908</v>
      </c>
      <c r="D377">
        <v>112.4482352155128</v>
      </c>
      <c r="E377">
        <v>3.1504571857283001</v>
      </c>
      <c r="F377">
        <v>1.3338573655453609</v>
      </c>
      <c r="G377">
        <f t="shared" si="5"/>
        <v>14</v>
      </c>
      <c r="H377" t="str" cm="1">
        <f t="array" ref="H377">_xlfn.IFS(AND(G377&gt;=6,G377&lt;=12),"上",AND(G377&gt;=13,G377&lt;=18),"下",AND(G377&gt;=19,G377&lt;=24),"晚",AND(G377&lt;=5),"晚")</f>
        <v>下</v>
      </c>
    </row>
    <row r="378" spans="1:8" x14ac:dyDescent="0.3">
      <c r="A378" s="2">
        <v>45014.625</v>
      </c>
      <c r="B378">
        <v>23.468956441461401</v>
      </c>
      <c r="C378">
        <v>30.04488157481865</v>
      </c>
      <c r="D378">
        <v>933.62661678158213</v>
      </c>
      <c r="E378">
        <v>2.8367234923108202</v>
      </c>
      <c r="F378">
        <v>1.4545134531830211</v>
      </c>
      <c r="G378">
        <f t="shared" si="5"/>
        <v>15</v>
      </c>
      <c r="H378" t="str" cm="1">
        <f t="array" ref="H378">_xlfn.IFS(AND(G378&gt;=6,G378&lt;=12),"上",AND(G378&gt;=13,G378&lt;=18),"下",AND(G378&gt;=19,G378&lt;=24),"晚",AND(G378&lt;=5),"晚")</f>
        <v>下</v>
      </c>
    </row>
    <row r="379" spans="1:8" x14ac:dyDescent="0.3">
      <c r="A379" s="2">
        <v>45092.083333333343</v>
      </c>
      <c r="B379">
        <v>25.09379499773031</v>
      </c>
      <c r="C379">
        <v>63.122232413238123</v>
      </c>
      <c r="D379">
        <v>196.62483911895461</v>
      </c>
      <c r="E379">
        <v>3.8682798039888651</v>
      </c>
      <c r="F379">
        <v>1.9435427209103679</v>
      </c>
      <c r="G379">
        <f t="shared" si="5"/>
        <v>2</v>
      </c>
      <c r="H379" t="str" cm="1">
        <f t="array" ref="H379">_xlfn.IFS(AND(G379&gt;=6,G379&lt;=12),"上",AND(G379&gt;=13,G379&lt;=18),"下",AND(G379&gt;=19,G379&lt;=24),"晚",AND(G379&lt;=5),"晚")</f>
        <v>晚</v>
      </c>
    </row>
    <row r="380" spans="1:8" x14ac:dyDescent="0.3">
      <c r="A380" s="2">
        <v>45150</v>
      </c>
      <c r="B380">
        <v>23.46632079691264</v>
      </c>
      <c r="C380">
        <v>43.050864674765648</v>
      </c>
      <c r="D380">
        <v>154.38366789797061</v>
      </c>
      <c r="E380">
        <v>2.3409456926044729</v>
      </c>
      <c r="F380">
        <v>1.436664838052768</v>
      </c>
      <c r="G380">
        <f t="shared" si="5"/>
        <v>0</v>
      </c>
      <c r="H380" t="str" cm="1">
        <f t="array" ref="H380">_xlfn.IFS(AND(G380&gt;=6,G380&lt;=12),"上",AND(G380&gt;=13,G380&lt;=18),"下",AND(G380&gt;=19,G380&lt;=24),"晚",AND(G380&lt;=5),"晚")</f>
        <v>晚</v>
      </c>
    </row>
    <row r="381" spans="1:8" x14ac:dyDescent="0.3">
      <c r="A381" s="2">
        <v>45263.875</v>
      </c>
      <c r="B381">
        <v>21.992379074884521</v>
      </c>
      <c r="C381">
        <v>59.882658815987362</v>
      </c>
      <c r="D381">
        <v>273.00677691115118</v>
      </c>
      <c r="E381">
        <v>1.142649043750525</v>
      </c>
      <c r="F381">
        <v>0.90163938461771076</v>
      </c>
      <c r="G381">
        <f t="shared" si="5"/>
        <v>21</v>
      </c>
      <c r="H381" t="str" cm="1">
        <f t="array" ref="H381">_xlfn.IFS(AND(G381&gt;=6,G381&lt;=12),"上",AND(G381&gt;=13,G381&lt;=18),"下",AND(G381&gt;=19,G381&lt;=24),"晚",AND(G381&lt;=5),"晚")</f>
        <v>晚</v>
      </c>
    </row>
    <row r="382" spans="1:8" x14ac:dyDescent="0.3">
      <c r="A382" s="2">
        <v>45272.041666666657</v>
      </c>
      <c r="B382">
        <v>21.997534706652871</v>
      </c>
      <c r="C382">
        <v>39.481634408176447</v>
      </c>
      <c r="D382">
        <v>649.31037718580217</v>
      </c>
      <c r="E382">
        <v>3.2246233505815001</v>
      </c>
      <c r="F382">
        <v>0.56652507962586385</v>
      </c>
      <c r="G382">
        <f t="shared" si="5"/>
        <v>1</v>
      </c>
      <c r="H382" t="str" cm="1">
        <f t="array" ref="H382">_xlfn.IFS(AND(G382&gt;=6,G382&lt;=12),"上",AND(G382&gt;=13,G382&lt;=18),"下",AND(G382&gt;=19,G382&lt;=24),"晚",AND(G382&lt;=5),"晚")</f>
        <v>晚</v>
      </c>
    </row>
    <row r="383" spans="1:8" x14ac:dyDescent="0.3">
      <c r="A383" s="2">
        <v>45103.25</v>
      </c>
      <c r="B383">
        <v>27.488595846404021</v>
      </c>
      <c r="C383">
        <v>38.072816186436476</v>
      </c>
      <c r="D383">
        <v>946.95737283122207</v>
      </c>
      <c r="E383">
        <v>2.1251527307128102</v>
      </c>
      <c r="F383">
        <v>1.11581365636173</v>
      </c>
      <c r="G383">
        <f t="shared" si="5"/>
        <v>6</v>
      </c>
      <c r="H383" t="str" cm="1">
        <f t="array" ref="H383">_xlfn.IFS(AND(G383&gt;=6,G383&lt;=12),"上",AND(G383&gt;=13,G383&lt;=18),"下",AND(G383&gt;=19,G383&lt;=24),"晚",AND(G383&lt;=5),"晚")</f>
        <v>上</v>
      </c>
    </row>
    <row r="384" spans="1:8" x14ac:dyDescent="0.3">
      <c r="A384" s="2">
        <v>45227.041666666657</v>
      </c>
      <c r="B384">
        <v>26.27952659636836</v>
      </c>
      <c r="C384">
        <v>62.383925467863918</v>
      </c>
      <c r="D384">
        <v>531.167424213667</v>
      </c>
      <c r="E384">
        <v>3.9920144816761458</v>
      </c>
      <c r="F384">
        <v>1.4804757634014241</v>
      </c>
      <c r="G384">
        <f t="shared" si="5"/>
        <v>1</v>
      </c>
      <c r="H384" t="str" cm="1">
        <f t="array" ref="H384">_xlfn.IFS(AND(G384&gt;=6,G384&lt;=12),"上",AND(G384&gt;=13,G384&lt;=18),"下",AND(G384&gt;=19,G384&lt;=24),"晚",AND(G384&lt;=5),"晚")</f>
        <v>晚</v>
      </c>
    </row>
    <row r="385" spans="1:8" x14ac:dyDescent="0.3">
      <c r="A385" s="2">
        <v>45173.166666666657</v>
      </c>
      <c r="B385">
        <v>29.32057041088958</v>
      </c>
      <c r="C385">
        <v>60.695526745712897</v>
      </c>
      <c r="D385">
        <v>581.74291856531875</v>
      </c>
      <c r="E385">
        <v>1.687057104971426</v>
      </c>
      <c r="F385">
        <v>0.32152484027024081</v>
      </c>
      <c r="G385">
        <f t="shared" si="5"/>
        <v>4</v>
      </c>
      <c r="H385" t="str" cm="1">
        <f t="array" ref="H385">_xlfn.IFS(AND(G385&gt;=6,G385&lt;=12),"上",AND(G385&gt;=13,G385&lt;=18),"下",AND(G385&gt;=19,G385&lt;=24),"晚",AND(G385&lt;=5),"晚")</f>
        <v>晚</v>
      </c>
    </row>
    <row r="386" spans="1:8" x14ac:dyDescent="0.3">
      <c r="A386" s="2">
        <v>45222.166666666657</v>
      </c>
      <c r="B386">
        <v>24.210046599370369</v>
      </c>
      <c r="C386">
        <v>62.448819634743188</v>
      </c>
      <c r="D386">
        <v>498.77229792775302</v>
      </c>
      <c r="E386">
        <v>4.3804194451016372</v>
      </c>
      <c r="F386">
        <v>0.2136374705632853</v>
      </c>
      <c r="G386">
        <f t="shared" si="5"/>
        <v>4</v>
      </c>
      <c r="H386" t="str" cm="1">
        <f t="array" ref="H386">_xlfn.IFS(AND(G386&gt;=6,G386&lt;=12),"上",AND(G386&gt;=13,G386&lt;=18),"下",AND(G386&gt;=19,G386&lt;=24),"晚",AND(G386&lt;=5),"晚")</f>
        <v>晚</v>
      </c>
    </row>
    <row r="387" spans="1:8" x14ac:dyDescent="0.3">
      <c r="A387" s="2">
        <v>45181.916666666657</v>
      </c>
      <c r="B387">
        <v>26.36567259372524</v>
      </c>
      <c r="C387">
        <v>60.293605464957423</v>
      </c>
      <c r="D387">
        <v>582.71259553576942</v>
      </c>
      <c r="E387">
        <v>4.0436389134024306</v>
      </c>
      <c r="F387">
        <v>0.52590066541690694</v>
      </c>
      <c r="G387">
        <f t="shared" ref="G387:G450" si="6">HOUR(A387)</f>
        <v>22</v>
      </c>
      <c r="H387" t="str" cm="1">
        <f t="array" ref="H387">_xlfn.IFS(AND(G387&gt;=6,G387&lt;=12),"上",AND(G387&gt;=13,G387&lt;=18),"下",AND(G387&gt;=19,G387&lt;=24),"晚",AND(G387&lt;=5),"晚")</f>
        <v>晚</v>
      </c>
    </row>
    <row r="388" spans="1:8" x14ac:dyDescent="0.3">
      <c r="A388" s="2">
        <v>45251.791666666657</v>
      </c>
      <c r="B388">
        <v>24.685395758399839</v>
      </c>
      <c r="C388">
        <v>33.834481835550918</v>
      </c>
      <c r="D388">
        <v>342.41747190310019</v>
      </c>
      <c r="E388">
        <v>2.5063789840328679</v>
      </c>
      <c r="F388">
        <v>0.89656990837172112</v>
      </c>
      <c r="G388">
        <f t="shared" si="6"/>
        <v>19</v>
      </c>
      <c r="H388" t="str" cm="1">
        <f t="array" ref="H388">_xlfn.IFS(AND(G388&gt;=6,G388&lt;=12),"上",AND(G388&gt;=13,G388&lt;=18),"下",AND(G388&gt;=19,G388&lt;=24),"晚",AND(G388&lt;=5),"晚")</f>
        <v>晚</v>
      </c>
    </row>
    <row r="389" spans="1:8" x14ac:dyDescent="0.3">
      <c r="A389" s="2">
        <v>45048.25</v>
      </c>
      <c r="B389">
        <v>24.739378728690621</v>
      </c>
      <c r="C389">
        <v>65.315136634443036</v>
      </c>
      <c r="D389">
        <v>725.43413415069597</v>
      </c>
      <c r="E389">
        <v>1.688997189620917</v>
      </c>
      <c r="F389">
        <v>1.3676313930621089</v>
      </c>
      <c r="G389">
        <f t="shared" si="6"/>
        <v>6</v>
      </c>
      <c r="H389" t="str" cm="1">
        <f t="array" ref="H389">_xlfn.IFS(AND(G389&gt;=6,G389&lt;=12),"上",AND(G389&gt;=13,G389&lt;=18),"下",AND(G389&gt;=19,G389&lt;=24),"晚",AND(G389&lt;=5),"晚")</f>
        <v>上</v>
      </c>
    </row>
    <row r="390" spans="1:8" x14ac:dyDescent="0.3">
      <c r="A390" s="2">
        <v>45236.958333333343</v>
      </c>
      <c r="B390">
        <v>28.540873756008779</v>
      </c>
      <c r="C390">
        <v>45.104701958963773</v>
      </c>
      <c r="D390">
        <v>738.93572682699221</v>
      </c>
      <c r="E390">
        <v>4.4207188593499334</v>
      </c>
      <c r="F390">
        <v>0.1173728913654658</v>
      </c>
      <c r="G390">
        <f t="shared" si="6"/>
        <v>23</v>
      </c>
      <c r="H390" t="str" cm="1">
        <f t="array" ref="H390">_xlfn.IFS(AND(G390&gt;=6,G390&lt;=12),"上",AND(G390&gt;=13,G390&lt;=18),"下",AND(G390&gt;=19,G390&lt;=24),"晚",AND(G390&lt;=5),"晚")</f>
        <v>晚</v>
      </c>
    </row>
    <row r="391" spans="1:8" x14ac:dyDescent="0.3">
      <c r="A391" s="2">
        <v>45080.375</v>
      </c>
      <c r="B391">
        <v>24.543027437485101</v>
      </c>
      <c r="C391">
        <v>38.786580523921607</v>
      </c>
      <c r="D391">
        <v>568.7569290738985</v>
      </c>
      <c r="E391">
        <v>2.3667851213222302</v>
      </c>
      <c r="F391">
        <v>1.1232569112672171</v>
      </c>
      <c r="G391">
        <f t="shared" si="6"/>
        <v>9</v>
      </c>
      <c r="H391" t="str" cm="1">
        <f t="array" ref="H391">_xlfn.IFS(AND(G391&gt;=6,G391&lt;=12),"上",AND(G391&gt;=13,G391&lt;=18),"下",AND(G391&gt;=19,G391&lt;=24),"晚",AND(G391&lt;=5),"晚")</f>
        <v>上</v>
      </c>
    </row>
    <row r="392" spans="1:8" x14ac:dyDescent="0.3">
      <c r="A392" s="2">
        <v>44947.583333333343</v>
      </c>
      <c r="B392">
        <v>29.281668006312842</v>
      </c>
      <c r="C392">
        <v>52.70267844796512</v>
      </c>
      <c r="D392">
        <v>873.55754818751586</v>
      </c>
      <c r="E392">
        <v>1.416603127554775</v>
      </c>
      <c r="F392">
        <v>0.6526618821199992</v>
      </c>
      <c r="G392">
        <f t="shared" si="6"/>
        <v>14</v>
      </c>
      <c r="H392" t="str" cm="1">
        <f t="array" ref="H392">_xlfn.IFS(AND(G392&gt;=6,G392&lt;=12),"上",AND(G392&gt;=13,G392&lt;=18),"下",AND(G392&gt;=19,G392&lt;=24),"晚",AND(G392&lt;=5),"晚")</f>
        <v>下</v>
      </c>
    </row>
    <row r="393" spans="1:8" x14ac:dyDescent="0.3">
      <c r="A393" s="2">
        <v>45220.833333333343</v>
      </c>
      <c r="B393">
        <v>26.205072571476389</v>
      </c>
      <c r="C393">
        <v>43.834590253367907</v>
      </c>
      <c r="D393">
        <v>694.71710844872518</v>
      </c>
      <c r="E393">
        <v>3.0324278339330628</v>
      </c>
      <c r="F393">
        <v>0.73652945793590485</v>
      </c>
      <c r="G393">
        <f t="shared" si="6"/>
        <v>20</v>
      </c>
      <c r="H393" t="str" cm="1">
        <f t="array" ref="H393">_xlfn.IFS(AND(G393&gt;=6,G393&lt;=12),"上",AND(G393&gt;=13,G393&lt;=18),"下",AND(G393&gt;=19,G393&lt;=24),"晚",AND(G393&lt;=5),"晚")</f>
        <v>晚</v>
      </c>
    </row>
    <row r="394" spans="1:8" x14ac:dyDescent="0.3">
      <c r="A394" s="2">
        <v>45007.958333333343</v>
      </c>
      <c r="B394">
        <v>20.85424292971144</v>
      </c>
      <c r="C394">
        <v>58.394790974254882</v>
      </c>
      <c r="D394">
        <v>544.14595804802275</v>
      </c>
      <c r="E394">
        <v>1.1612788513076451</v>
      </c>
      <c r="F394">
        <v>0.92313689713633484</v>
      </c>
      <c r="G394">
        <f t="shared" si="6"/>
        <v>23</v>
      </c>
      <c r="H394" t="str" cm="1">
        <f t="array" ref="H394">_xlfn.IFS(AND(G394&gt;=6,G394&lt;=12),"上",AND(G394&gt;=13,G394&lt;=18),"下",AND(G394&gt;=19,G394&lt;=24),"晚",AND(G394&lt;=5),"晚")</f>
        <v>晚</v>
      </c>
    </row>
    <row r="395" spans="1:8" x14ac:dyDescent="0.3">
      <c r="A395" s="2">
        <v>44972.208333333343</v>
      </c>
      <c r="B395">
        <v>20.679829160509041</v>
      </c>
      <c r="C395">
        <v>57.78474447915498</v>
      </c>
      <c r="D395">
        <v>857.90193488777766</v>
      </c>
      <c r="E395">
        <v>1.643187287625602</v>
      </c>
      <c r="F395">
        <v>0.9740471027030374</v>
      </c>
      <c r="G395">
        <f t="shared" si="6"/>
        <v>5</v>
      </c>
      <c r="H395" t="str" cm="1">
        <f t="array" ref="H395">_xlfn.IFS(AND(G395&gt;=6,G395&lt;=12),"上",AND(G395&gt;=13,G395&lt;=18),"下",AND(G395&gt;=19,G395&lt;=24),"晚",AND(G395&lt;=5),"晚")</f>
        <v>晚</v>
      </c>
    </row>
    <row r="396" spans="1:8" x14ac:dyDescent="0.3">
      <c r="A396" s="2">
        <v>45141.083333333343</v>
      </c>
      <c r="B396">
        <v>29.823142123446811</v>
      </c>
      <c r="C396">
        <v>64.004298129390037</v>
      </c>
      <c r="D396">
        <v>625.88849216675953</v>
      </c>
      <c r="E396">
        <v>1.5296253855445341</v>
      </c>
      <c r="F396">
        <v>0.86338304039727598</v>
      </c>
      <c r="G396">
        <f t="shared" si="6"/>
        <v>2</v>
      </c>
      <c r="H396" t="str" cm="1">
        <f t="array" ref="H396">_xlfn.IFS(AND(G396&gt;=6,G396&lt;=12),"上",AND(G396&gt;=13,G396&lt;=18),"下",AND(G396&gt;=19,G396&lt;=24),"晚",AND(G396&lt;=5),"晚")</f>
        <v>晚</v>
      </c>
    </row>
    <row r="397" spans="1:8" x14ac:dyDescent="0.3">
      <c r="A397" s="2">
        <v>45069.5</v>
      </c>
      <c r="B397">
        <v>23.99359386044782</v>
      </c>
      <c r="C397">
        <v>69.742342301211195</v>
      </c>
      <c r="D397">
        <v>168.40218979656589</v>
      </c>
      <c r="E397">
        <v>2.995839616913972</v>
      </c>
      <c r="F397">
        <v>0.26604685836297992</v>
      </c>
      <c r="G397">
        <f t="shared" si="6"/>
        <v>12</v>
      </c>
      <c r="H397" t="str" cm="1">
        <f t="array" ref="H397">_xlfn.IFS(AND(G397&gt;=6,G397&lt;=12),"上",AND(G397&gt;=13,G397&lt;=18),"下",AND(G397&gt;=19,G397&lt;=24),"晚",AND(G397&lt;=5),"晚")</f>
        <v>上</v>
      </c>
    </row>
    <row r="398" spans="1:8" x14ac:dyDescent="0.3">
      <c r="A398" s="2">
        <v>45263.625</v>
      </c>
      <c r="B398">
        <v>25.874588318505719</v>
      </c>
      <c r="C398">
        <v>61.98255720089746</v>
      </c>
      <c r="D398">
        <v>822.34729608803264</v>
      </c>
      <c r="E398">
        <v>2.3129456222565539</v>
      </c>
      <c r="F398">
        <v>0.40237304918106659</v>
      </c>
      <c r="G398">
        <f t="shared" si="6"/>
        <v>15</v>
      </c>
      <c r="H398" t="str" cm="1">
        <f t="array" ref="H398">_xlfn.IFS(AND(G398&gt;=6,G398&lt;=12),"上",AND(G398&gt;=13,G398&lt;=18),"下",AND(G398&gt;=19,G398&lt;=24),"晚",AND(G398&lt;=5),"晚")</f>
        <v>下</v>
      </c>
    </row>
    <row r="399" spans="1:8" x14ac:dyDescent="0.3">
      <c r="A399" s="2">
        <v>45128.833333333343</v>
      </c>
      <c r="B399">
        <v>24.315860696701929</v>
      </c>
      <c r="C399">
        <v>35.661958887095601</v>
      </c>
      <c r="D399">
        <v>861.03130493631022</v>
      </c>
      <c r="E399">
        <v>3.898703202542106</v>
      </c>
      <c r="F399">
        <v>1.037382802427723</v>
      </c>
      <c r="G399">
        <f t="shared" si="6"/>
        <v>20</v>
      </c>
      <c r="H399" t="str" cm="1">
        <f t="array" ref="H399">_xlfn.IFS(AND(G399&gt;=6,G399&lt;=12),"上",AND(G399&gt;=13,G399&lt;=18),"下",AND(G399&gt;=19,G399&lt;=24),"晚",AND(G399&lt;=5),"晚")</f>
        <v>晚</v>
      </c>
    </row>
    <row r="400" spans="1:8" x14ac:dyDescent="0.3">
      <c r="A400" s="2">
        <v>45030.958333333343</v>
      </c>
      <c r="B400">
        <v>21.58896438494607</v>
      </c>
      <c r="C400">
        <v>60.505711798275968</v>
      </c>
      <c r="D400">
        <v>143.26848653897571</v>
      </c>
      <c r="E400">
        <v>1.4327089895479681</v>
      </c>
      <c r="F400">
        <v>0.83445788743795624</v>
      </c>
      <c r="G400">
        <f t="shared" si="6"/>
        <v>23</v>
      </c>
      <c r="H400" t="str" cm="1">
        <f t="array" ref="H400">_xlfn.IFS(AND(G400&gt;=6,G400&lt;=12),"上",AND(G400&gt;=13,G400&lt;=18),"下",AND(G400&gt;=19,G400&lt;=24),"晚",AND(G400&lt;=5),"晚")</f>
        <v>晚</v>
      </c>
    </row>
    <row r="401" spans="1:8" x14ac:dyDescent="0.3">
      <c r="A401" s="2">
        <v>45094.875</v>
      </c>
      <c r="B401">
        <v>21.255517030509338</v>
      </c>
      <c r="C401">
        <v>52.675981535439021</v>
      </c>
      <c r="D401">
        <v>793.37428475280262</v>
      </c>
      <c r="E401">
        <v>2.2226477676219689</v>
      </c>
      <c r="F401">
        <v>1.9937331879557809</v>
      </c>
      <c r="G401">
        <f t="shared" si="6"/>
        <v>21</v>
      </c>
      <c r="H401" t="str" cm="1">
        <f t="array" ref="H401">_xlfn.IFS(AND(G401&gt;=6,G401&lt;=12),"上",AND(G401&gt;=13,G401&lt;=18),"下",AND(G401&gt;=19,G401&lt;=24),"晚",AND(G401&lt;=5),"晚")</f>
        <v>晚</v>
      </c>
    </row>
    <row r="402" spans="1:8" x14ac:dyDescent="0.3">
      <c r="A402" s="2">
        <v>45170.541666666657</v>
      </c>
      <c r="B402">
        <v>22.12696152624958</v>
      </c>
      <c r="C402">
        <v>52.52724963810995</v>
      </c>
      <c r="D402">
        <v>982.77298397719619</v>
      </c>
      <c r="E402">
        <v>2.1947913807349271</v>
      </c>
      <c r="F402">
        <v>1.5622770571951199</v>
      </c>
      <c r="G402">
        <f t="shared" si="6"/>
        <v>13</v>
      </c>
      <c r="H402" t="str" cm="1">
        <f t="array" ref="H402">_xlfn.IFS(AND(G402&gt;=6,G402&lt;=12),"上",AND(G402&gt;=13,G402&lt;=18),"下",AND(G402&gt;=19,G402&lt;=24),"晚",AND(G402&lt;=5),"晚")</f>
        <v>下</v>
      </c>
    </row>
    <row r="403" spans="1:8" x14ac:dyDescent="0.3">
      <c r="A403" s="2">
        <v>45025.041666666657</v>
      </c>
      <c r="B403">
        <v>26.053378112295551</v>
      </c>
      <c r="C403">
        <v>43.489825824994149</v>
      </c>
      <c r="D403">
        <v>811.65979695065619</v>
      </c>
      <c r="E403">
        <v>3.98915739594768</v>
      </c>
      <c r="F403">
        <v>1.207417409373267</v>
      </c>
      <c r="G403">
        <f t="shared" si="6"/>
        <v>1</v>
      </c>
      <c r="H403" t="str" cm="1">
        <f t="array" ref="H403">_xlfn.IFS(AND(G403&gt;=6,G403&lt;=12),"上",AND(G403&gt;=13,G403&lt;=18),"下",AND(G403&gt;=19,G403&lt;=24),"晚",AND(G403&lt;=5),"晚")</f>
        <v>晚</v>
      </c>
    </row>
    <row r="404" spans="1:8" x14ac:dyDescent="0.3">
      <c r="A404" s="2">
        <v>45170.791666666657</v>
      </c>
      <c r="B404">
        <v>25.465335873757589</v>
      </c>
      <c r="C404">
        <v>36.429319233351457</v>
      </c>
      <c r="D404">
        <v>458.09151063398087</v>
      </c>
      <c r="E404">
        <v>4.5190982884028532</v>
      </c>
      <c r="F404">
        <v>1.1408866104791591</v>
      </c>
      <c r="G404">
        <f t="shared" si="6"/>
        <v>19</v>
      </c>
      <c r="H404" t="str" cm="1">
        <f t="array" ref="H404">_xlfn.IFS(AND(G404&gt;=6,G404&lt;=12),"上",AND(G404&gt;=13,G404&lt;=18),"下",AND(G404&gt;=19,G404&lt;=24),"晚",AND(G404&lt;=5),"晚")</f>
        <v>晚</v>
      </c>
    </row>
    <row r="405" spans="1:8" x14ac:dyDescent="0.3">
      <c r="A405" s="2">
        <v>45274.458333333343</v>
      </c>
      <c r="B405">
        <v>23.285884322865051</v>
      </c>
      <c r="C405">
        <v>36.922077647216867</v>
      </c>
      <c r="D405">
        <v>745.95642754709047</v>
      </c>
      <c r="E405">
        <v>2.9708590153296139</v>
      </c>
      <c r="F405">
        <v>0.19499238368055799</v>
      </c>
      <c r="G405">
        <f t="shared" si="6"/>
        <v>11</v>
      </c>
      <c r="H405" t="str" cm="1">
        <f t="array" ref="H405">_xlfn.IFS(AND(G405&gt;=6,G405&lt;=12),"上",AND(G405&gt;=13,G405&lt;=18),"下",AND(G405&gt;=19,G405&lt;=24),"晚",AND(G405&lt;=5),"晚")</f>
        <v>上</v>
      </c>
    </row>
    <row r="406" spans="1:8" x14ac:dyDescent="0.3">
      <c r="A406" s="2">
        <v>45261.625</v>
      </c>
      <c r="B406">
        <v>20.441742397081679</v>
      </c>
      <c r="C406">
        <v>32.303980250920233</v>
      </c>
      <c r="D406">
        <v>362.95679833784828</v>
      </c>
      <c r="E406">
        <v>3.2467086108755852</v>
      </c>
      <c r="F406">
        <v>1.3857899126122271</v>
      </c>
      <c r="G406">
        <f t="shared" si="6"/>
        <v>15</v>
      </c>
      <c r="H406" t="str" cm="1">
        <f t="array" ref="H406">_xlfn.IFS(AND(G406&gt;=6,G406&lt;=12),"上",AND(G406&gt;=13,G406&lt;=18),"下",AND(G406&gt;=19,G406&lt;=24),"晚",AND(G406&lt;=5),"晚")</f>
        <v>下</v>
      </c>
    </row>
    <row r="407" spans="1:8" x14ac:dyDescent="0.3">
      <c r="A407" s="2">
        <v>45211.416666666657</v>
      </c>
      <c r="B407">
        <v>23.240280501122289</v>
      </c>
      <c r="C407">
        <v>62.213992997969648</v>
      </c>
      <c r="D407">
        <v>691.97192596087962</v>
      </c>
      <c r="E407">
        <v>4.1875902771174722</v>
      </c>
      <c r="F407">
        <v>1.174317332577282</v>
      </c>
      <c r="G407">
        <f t="shared" si="6"/>
        <v>10</v>
      </c>
      <c r="H407" t="str" cm="1">
        <f t="array" ref="H407">_xlfn.IFS(AND(G407&gt;=6,G407&lt;=12),"上",AND(G407&gt;=13,G407&lt;=18),"下",AND(G407&gt;=19,G407&lt;=24),"晚",AND(G407&lt;=5),"晚")</f>
        <v>上</v>
      </c>
    </row>
    <row r="408" spans="1:8" x14ac:dyDescent="0.3">
      <c r="A408" s="2">
        <v>45089.416666666657</v>
      </c>
      <c r="B408">
        <v>23.98303323652403</v>
      </c>
      <c r="C408">
        <v>59.757937119372443</v>
      </c>
      <c r="D408">
        <v>565.76885379060923</v>
      </c>
      <c r="E408">
        <v>4.4848381942487583</v>
      </c>
      <c r="F408">
        <v>1.0802102978158581</v>
      </c>
      <c r="G408">
        <f t="shared" si="6"/>
        <v>10</v>
      </c>
      <c r="H408" t="str" cm="1">
        <f t="array" ref="H408">_xlfn.IFS(AND(G408&gt;=6,G408&lt;=12),"上",AND(G408&gt;=13,G408&lt;=18),"下",AND(G408&gt;=19,G408&lt;=24),"晚",AND(G408&lt;=5),"晚")</f>
        <v>上</v>
      </c>
    </row>
    <row r="409" spans="1:8" x14ac:dyDescent="0.3">
      <c r="A409" s="2">
        <v>44986.958333333343</v>
      </c>
      <c r="B409">
        <v>27.56423782934068</v>
      </c>
      <c r="C409">
        <v>64.269144310388427</v>
      </c>
      <c r="D409">
        <v>696.0046666860469</v>
      </c>
      <c r="E409">
        <v>4.0549200080308587</v>
      </c>
      <c r="F409">
        <v>1.556244892584153</v>
      </c>
      <c r="G409">
        <f t="shared" si="6"/>
        <v>23</v>
      </c>
      <c r="H409" t="str" cm="1">
        <f t="array" ref="H409">_xlfn.IFS(AND(G409&gt;=6,G409&lt;=12),"上",AND(G409&gt;=13,G409&lt;=18),"下",AND(G409&gt;=19,G409&lt;=24),"晚",AND(G409&lt;=5),"晚")</f>
        <v>晚</v>
      </c>
    </row>
    <row r="410" spans="1:8" x14ac:dyDescent="0.3">
      <c r="A410" s="2">
        <v>45254.958333333343</v>
      </c>
      <c r="B410">
        <v>27.37483989493423</v>
      </c>
      <c r="C410">
        <v>58.165725201965707</v>
      </c>
      <c r="D410">
        <v>472.45221097824532</v>
      </c>
      <c r="E410">
        <v>2.035986589592806</v>
      </c>
      <c r="F410">
        <v>1.587681755965539</v>
      </c>
      <c r="G410">
        <f t="shared" si="6"/>
        <v>23</v>
      </c>
      <c r="H410" t="str" cm="1">
        <f t="array" ref="H410">_xlfn.IFS(AND(G410&gt;=6,G410&lt;=12),"上",AND(G410&gt;=13,G410&lt;=18),"下",AND(G410&gt;=19,G410&lt;=24),"晚",AND(G410&lt;=5),"晚")</f>
        <v>晚</v>
      </c>
    </row>
    <row r="411" spans="1:8" x14ac:dyDescent="0.3">
      <c r="A411" s="2">
        <v>44953.666666666657</v>
      </c>
      <c r="B411">
        <v>22.214080965360321</v>
      </c>
      <c r="C411">
        <v>36.711440122347</v>
      </c>
      <c r="D411">
        <v>238.7507986777992</v>
      </c>
      <c r="E411">
        <v>1.2918736488219491</v>
      </c>
      <c r="F411">
        <v>0.51171223969629298</v>
      </c>
      <c r="G411">
        <f t="shared" si="6"/>
        <v>16</v>
      </c>
      <c r="H411" t="str" cm="1">
        <f t="array" ref="H411">_xlfn.IFS(AND(G411&gt;=6,G411&lt;=12),"上",AND(G411&gt;=13,G411&lt;=18),"下",AND(G411&gt;=19,G411&lt;=24),"晚",AND(G411&lt;=5),"晚")</f>
        <v>下</v>
      </c>
    </row>
    <row r="412" spans="1:8" x14ac:dyDescent="0.3">
      <c r="A412" s="2">
        <v>45174.708333333343</v>
      </c>
      <c r="B412">
        <v>22.276739519942488</v>
      </c>
      <c r="C412">
        <v>59.438360792127803</v>
      </c>
      <c r="D412">
        <v>478.93873951544418</v>
      </c>
      <c r="E412">
        <v>1.843677385870419</v>
      </c>
      <c r="F412">
        <v>0.45083351087851398</v>
      </c>
      <c r="G412">
        <f t="shared" si="6"/>
        <v>17</v>
      </c>
      <c r="H412" t="str" cm="1">
        <f t="array" ref="H412">_xlfn.IFS(AND(G412&gt;=6,G412&lt;=12),"上",AND(G412&gt;=13,G412&lt;=18),"下",AND(G412&gt;=19,G412&lt;=24),"晚",AND(G412&lt;=5),"晚")</f>
        <v>下</v>
      </c>
    </row>
    <row r="413" spans="1:8" x14ac:dyDescent="0.3">
      <c r="A413" s="2">
        <v>45049.666666666657</v>
      </c>
      <c r="B413">
        <v>26.2788282738777</v>
      </c>
      <c r="C413">
        <v>52.314077261444183</v>
      </c>
      <c r="D413">
        <v>529.6682066246459</v>
      </c>
      <c r="E413">
        <v>3.4782654489726261</v>
      </c>
      <c r="F413">
        <v>1.353366419623133</v>
      </c>
      <c r="G413">
        <f t="shared" si="6"/>
        <v>16</v>
      </c>
      <c r="H413" t="str" cm="1">
        <f t="array" ref="H413">_xlfn.IFS(AND(G413&gt;=6,G413&lt;=12),"上",AND(G413&gt;=13,G413&lt;=18),"下",AND(G413&gt;=19,G413&lt;=24),"晚",AND(G413&lt;=5),"晚")</f>
        <v>下</v>
      </c>
    </row>
    <row r="414" spans="1:8" x14ac:dyDescent="0.3">
      <c r="A414" s="2">
        <v>45251.333333333343</v>
      </c>
      <c r="B414">
        <v>26.5177634739529</v>
      </c>
      <c r="C414">
        <v>34.346918132621369</v>
      </c>
      <c r="D414">
        <v>710.07557643048654</v>
      </c>
      <c r="E414">
        <v>3.1955478653146629</v>
      </c>
      <c r="F414">
        <v>0.72852446357612277</v>
      </c>
      <c r="G414">
        <f t="shared" si="6"/>
        <v>8</v>
      </c>
      <c r="H414" t="str" cm="1">
        <f t="array" ref="H414">_xlfn.IFS(AND(G414&gt;=6,G414&lt;=12),"上",AND(G414&gt;=13,G414&lt;=18),"下",AND(G414&gt;=19,G414&lt;=24),"晚",AND(G414&lt;=5),"晚")</f>
        <v>上</v>
      </c>
    </row>
    <row r="415" spans="1:8" x14ac:dyDescent="0.3">
      <c r="A415" s="2">
        <v>45033.875</v>
      </c>
      <c r="B415">
        <v>25.611027760705191</v>
      </c>
      <c r="C415">
        <v>66.204893984212873</v>
      </c>
      <c r="D415">
        <v>356.06232601172422</v>
      </c>
      <c r="E415">
        <v>3.0312990197972769</v>
      </c>
      <c r="F415">
        <v>0.9640803909763328</v>
      </c>
      <c r="G415">
        <f t="shared" si="6"/>
        <v>21</v>
      </c>
      <c r="H415" t="str" cm="1">
        <f t="array" ref="H415">_xlfn.IFS(AND(G415&gt;=6,G415&lt;=12),"上",AND(G415&gt;=13,G415&lt;=18),"下",AND(G415&gt;=19,G415&lt;=24),"晚",AND(G415&lt;=5),"晚")</f>
        <v>晚</v>
      </c>
    </row>
    <row r="416" spans="1:8" x14ac:dyDescent="0.3">
      <c r="A416" s="2">
        <v>45226.791666666657</v>
      </c>
      <c r="B416">
        <v>21.119713803277939</v>
      </c>
      <c r="C416">
        <v>66.092684106444409</v>
      </c>
      <c r="D416">
        <v>681.08569876266927</v>
      </c>
      <c r="E416">
        <v>1.292727183003588</v>
      </c>
      <c r="F416">
        <v>0.18431692072762809</v>
      </c>
      <c r="G416">
        <f t="shared" si="6"/>
        <v>19</v>
      </c>
      <c r="H416" t="str" cm="1">
        <f t="array" ref="H416">_xlfn.IFS(AND(G416&gt;=6,G416&lt;=12),"上",AND(G416&gt;=13,G416&lt;=18),"下",AND(G416&gt;=19,G416&lt;=24),"晚",AND(G416&lt;=5),"晚")</f>
        <v>晚</v>
      </c>
    </row>
    <row r="417" spans="1:8" x14ac:dyDescent="0.3">
      <c r="A417" s="2">
        <v>45253.5</v>
      </c>
      <c r="B417">
        <v>22.857201483915901</v>
      </c>
      <c r="C417">
        <v>55.114568186707558</v>
      </c>
      <c r="D417">
        <v>310.45374535370229</v>
      </c>
      <c r="E417">
        <v>2.6434780638979212</v>
      </c>
      <c r="F417">
        <v>0.9035839883324035</v>
      </c>
      <c r="G417">
        <f t="shared" si="6"/>
        <v>12</v>
      </c>
      <c r="H417" t="str" cm="1">
        <f t="array" ref="H417">_xlfn.IFS(AND(G417&gt;=6,G417&lt;=12),"上",AND(G417&gt;=13,G417&lt;=18),"下",AND(G417&gt;=19,G417&lt;=24),"晚",AND(G417&lt;=5),"晚")</f>
        <v>上</v>
      </c>
    </row>
    <row r="418" spans="1:8" x14ac:dyDescent="0.3">
      <c r="A418" s="2">
        <v>45118.291666666657</v>
      </c>
      <c r="B418">
        <v>20.317032114610729</v>
      </c>
      <c r="C418">
        <v>46.785648791763172</v>
      </c>
      <c r="D418">
        <v>788.41780991125438</v>
      </c>
      <c r="E418">
        <v>1.1047569235097321</v>
      </c>
      <c r="F418">
        <v>1.889513043658827</v>
      </c>
      <c r="G418">
        <f t="shared" si="6"/>
        <v>7</v>
      </c>
      <c r="H418" t="str" cm="1">
        <f t="array" ref="H418">_xlfn.IFS(AND(G418&gt;=6,G418&lt;=12),"上",AND(G418&gt;=13,G418&lt;=18),"下",AND(G418&gt;=19,G418&lt;=24),"晚",AND(G418&lt;=5),"晚")</f>
        <v>上</v>
      </c>
    </row>
    <row r="419" spans="1:8" x14ac:dyDescent="0.3">
      <c r="A419" s="2">
        <v>45283.208333333343</v>
      </c>
      <c r="B419">
        <v>27.615941474726529</v>
      </c>
      <c r="C419">
        <v>39.516964128438993</v>
      </c>
      <c r="D419">
        <v>749.90043950902373</v>
      </c>
      <c r="E419">
        <v>3.6135607937064571</v>
      </c>
      <c r="F419">
        <v>1.4065703326836509</v>
      </c>
      <c r="G419">
        <f t="shared" si="6"/>
        <v>5</v>
      </c>
      <c r="H419" t="str" cm="1">
        <f t="array" ref="H419">_xlfn.IFS(AND(G419&gt;=6,G419&lt;=12),"上",AND(G419&gt;=13,G419&lt;=18),"下",AND(G419&gt;=19,G419&lt;=24),"晚",AND(G419&lt;=5),"晚")</f>
        <v>晚</v>
      </c>
    </row>
    <row r="420" spans="1:8" x14ac:dyDescent="0.3">
      <c r="A420" s="2">
        <v>45110.291666666657</v>
      </c>
      <c r="B420">
        <v>28.065034273644851</v>
      </c>
      <c r="C420">
        <v>33.90402102792077</v>
      </c>
      <c r="D420">
        <v>205.9734765186428</v>
      </c>
      <c r="E420">
        <v>1.983481241247429</v>
      </c>
      <c r="F420">
        <v>1.6568704456362759</v>
      </c>
      <c r="G420">
        <f t="shared" si="6"/>
        <v>7</v>
      </c>
      <c r="H420" t="str" cm="1">
        <f t="array" ref="H420">_xlfn.IFS(AND(G420&gt;=6,G420&lt;=12),"上",AND(G420&gt;=13,G420&lt;=18),"下",AND(G420&gt;=19,G420&lt;=24),"晚",AND(G420&lt;=5),"晚")</f>
        <v>上</v>
      </c>
    </row>
    <row r="421" spans="1:8" x14ac:dyDescent="0.3">
      <c r="A421" s="2">
        <v>45251.208333333343</v>
      </c>
      <c r="B421">
        <v>29.204805994112249</v>
      </c>
      <c r="C421">
        <v>62.239979956679107</v>
      </c>
      <c r="D421">
        <v>633.3894134770087</v>
      </c>
      <c r="E421">
        <v>3.8281988409673251</v>
      </c>
      <c r="F421">
        <v>1.292296957159323</v>
      </c>
      <c r="G421">
        <f t="shared" si="6"/>
        <v>5</v>
      </c>
      <c r="H421" t="str" cm="1">
        <f t="array" ref="H421">_xlfn.IFS(AND(G421&gt;=6,G421&lt;=12),"上",AND(G421&gt;=13,G421&lt;=18),"下",AND(G421&gt;=19,G421&lt;=24),"晚",AND(G421&lt;=5),"晚")</f>
        <v>晚</v>
      </c>
    </row>
    <row r="422" spans="1:8" x14ac:dyDescent="0.3">
      <c r="A422" s="2">
        <v>44972.5</v>
      </c>
      <c r="B422">
        <v>20.87915566784045</v>
      </c>
      <c r="C422">
        <v>68.670123114308041</v>
      </c>
      <c r="D422">
        <v>179.2450242366431</v>
      </c>
      <c r="E422">
        <v>3.1289912116355509</v>
      </c>
      <c r="F422">
        <v>1.2117059795776419</v>
      </c>
      <c r="G422">
        <f t="shared" si="6"/>
        <v>12</v>
      </c>
      <c r="H422" t="str" cm="1">
        <f t="array" ref="H422">_xlfn.IFS(AND(G422&gt;=6,G422&lt;=12),"上",AND(G422&gt;=13,G422&lt;=18),"下",AND(G422&gt;=19,G422&lt;=24),"晚",AND(G422&lt;=5),"晚")</f>
        <v>上</v>
      </c>
    </row>
    <row r="423" spans="1:8" x14ac:dyDescent="0.3">
      <c r="A423" s="2">
        <v>45158.958333333343</v>
      </c>
      <c r="B423">
        <v>29.062129562245371</v>
      </c>
      <c r="C423">
        <v>30.561625284928951</v>
      </c>
      <c r="D423">
        <v>972.21188669574622</v>
      </c>
      <c r="E423">
        <v>1.2166959645425219</v>
      </c>
      <c r="F423">
        <v>1.9446244137901729</v>
      </c>
      <c r="G423">
        <f t="shared" si="6"/>
        <v>23</v>
      </c>
      <c r="H423" t="str" cm="1">
        <f t="array" ref="H423">_xlfn.IFS(AND(G423&gt;=6,G423&lt;=12),"上",AND(G423&gt;=13,G423&lt;=18),"下",AND(G423&gt;=19,G423&lt;=24),"晚",AND(G423&lt;=5),"晚")</f>
        <v>晚</v>
      </c>
    </row>
    <row r="424" spans="1:8" x14ac:dyDescent="0.3">
      <c r="A424" s="2">
        <v>45268.791666666657</v>
      </c>
      <c r="B424">
        <v>29.184252230271859</v>
      </c>
      <c r="C424">
        <v>49.174451479401768</v>
      </c>
      <c r="D424">
        <v>405.31566541955272</v>
      </c>
      <c r="E424">
        <v>1.5568551274612361</v>
      </c>
      <c r="F424">
        <v>1.0304563687619599</v>
      </c>
      <c r="G424">
        <f t="shared" si="6"/>
        <v>19</v>
      </c>
      <c r="H424" t="str" cm="1">
        <f t="array" ref="H424">_xlfn.IFS(AND(G424&gt;=6,G424&lt;=12),"上",AND(G424&gt;=13,G424&lt;=18),"下",AND(G424&gt;=19,G424&lt;=24),"晚",AND(G424&lt;=5),"晚")</f>
        <v>晚</v>
      </c>
    </row>
    <row r="425" spans="1:8" x14ac:dyDescent="0.3">
      <c r="A425" s="2">
        <v>45075.875</v>
      </c>
      <c r="B425">
        <v>29.977059924321839</v>
      </c>
      <c r="C425">
        <v>34.241431503922627</v>
      </c>
      <c r="D425">
        <v>118.2350346830931</v>
      </c>
      <c r="E425">
        <v>4.647110020850806</v>
      </c>
      <c r="F425">
        <v>1.6015737297069541</v>
      </c>
      <c r="G425">
        <f t="shared" si="6"/>
        <v>21</v>
      </c>
      <c r="H425" t="str" cm="1">
        <f t="array" ref="H425">_xlfn.IFS(AND(G425&gt;=6,G425&lt;=12),"上",AND(G425&gt;=13,G425&lt;=18),"下",AND(G425&gt;=19,G425&lt;=24),"晚",AND(G425&lt;=5),"晚")</f>
        <v>晚</v>
      </c>
    </row>
    <row r="426" spans="1:8" x14ac:dyDescent="0.3">
      <c r="A426" s="2">
        <v>45039.541666666657</v>
      </c>
      <c r="B426">
        <v>27.778885680443029</v>
      </c>
      <c r="C426">
        <v>46.7415616760142</v>
      </c>
      <c r="D426">
        <v>553.25354385881906</v>
      </c>
      <c r="E426">
        <v>4.5031395574750626</v>
      </c>
      <c r="F426">
        <v>0.53968082613729118</v>
      </c>
      <c r="G426">
        <f t="shared" si="6"/>
        <v>13</v>
      </c>
      <c r="H426" t="str" cm="1">
        <f t="array" ref="H426">_xlfn.IFS(AND(G426&gt;=6,G426&lt;=12),"上",AND(G426&gt;=13,G426&lt;=18),"下",AND(G426&gt;=19,G426&lt;=24),"晚",AND(G426&lt;=5),"晚")</f>
        <v>下</v>
      </c>
    </row>
    <row r="427" spans="1:8" x14ac:dyDescent="0.3">
      <c r="A427" s="2">
        <v>45230.333333333343</v>
      </c>
      <c r="B427">
        <v>22.62637835641053</v>
      </c>
      <c r="C427">
        <v>53.224511782173387</v>
      </c>
      <c r="D427">
        <v>209.67640176077049</v>
      </c>
      <c r="E427">
        <v>4.2630165754086233</v>
      </c>
      <c r="F427">
        <v>0.29372615575930627</v>
      </c>
      <c r="G427">
        <f t="shared" si="6"/>
        <v>8</v>
      </c>
      <c r="H427" t="str" cm="1">
        <f t="array" ref="H427">_xlfn.IFS(AND(G427&gt;=6,G427&lt;=12),"上",AND(G427&gt;=13,G427&lt;=18),"下",AND(G427&gt;=19,G427&lt;=24),"晚",AND(G427&lt;=5),"晚")</f>
        <v>上</v>
      </c>
    </row>
    <row r="428" spans="1:8" x14ac:dyDescent="0.3">
      <c r="A428" s="2">
        <v>45250.291666666657</v>
      </c>
      <c r="B428">
        <v>22.645588697189378</v>
      </c>
      <c r="C428">
        <v>47.164026410637042</v>
      </c>
      <c r="D428">
        <v>685.84853091404034</v>
      </c>
      <c r="E428">
        <v>3.2846108080324758</v>
      </c>
      <c r="F428">
        <v>0.44452128496179549</v>
      </c>
      <c r="G428">
        <f t="shared" si="6"/>
        <v>7</v>
      </c>
      <c r="H428" t="str" cm="1">
        <f t="array" ref="H428">_xlfn.IFS(AND(G428&gt;=6,G428&lt;=12),"上",AND(G428&gt;=13,G428&lt;=18),"下",AND(G428&gt;=19,G428&lt;=24),"晚",AND(G428&lt;=5),"晚")</f>
        <v>上</v>
      </c>
    </row>
    <row r="429" spans="1:8" x14ac:dyDescent="0.3">
      <c r="A429" s="2">
        <v>44938.833333333343</v>
      </c>
      <c r="B429">
        <v>26.882168777089941</v>
      </c>
      <c r="C429">
        <v>30.688939323166331</v>
      </c>
      <c r="D429">
        <v>757.90547734543861</v>
      </c>
      <c r="E429">
        <v>2.4407571727687301</v>
      </c>
      <c r="F429">
        <v>0.75037782205693604</v>
      </c>
      <c r="G429">
        <f t="shared" si="6"/>
        <v>20</v>
      </c>
      <c r="H429" t="str" cm="1">
        <f t="array" ref="H429">_xlfn.IFS(AND(G429&gt;=6,G429&lt;=12),"上",AND(G429&gt;=13,G429&lt;=18),"下",AND(G429&gt;=19,G429&lt;=24),"晚",AND(G429&lt;=5),"晚")</f>
        <v>晚</v>
      </c>
    </row>
    <row r="430" spans="1:8" x14ac:dyDescent="0.3">
      <c r="A430" s="2">
        <v>45103.291666666657</v>
      </c>
      <c r="B430">
        <v>26.79732661662171</v>
      </c>
      <c r="C430">
        <v>69.513790704299012</v>
      </c>
      <c r="D430">
        <v>873.33937598155444</v>
      </c>
      <c r="E430">
        <v>4.8350557826327636</v>
      </c>
      <c r="F430">
        <v>0.97529742551283083</v>
      </c>
      <c r="G430">
        <f t="shared" si="6"/>
        <v>7</v>
      </c>
      <c r="H430" t="str" cm="1">
        <f t="array" ref="H430">_xlfn.IFS(AND(G430&gt;=6,G430&lt;=12),"上",AND(G430&gt;=13,G430&lt;=18),"下",AND(G430&gt;=19,G430&lt;=24),"晚",AND(G430&lt;=5),"晚")</f>
        <v>上</v>
      </c>
    </row>
    <row r="431" spans="1:8" x14ac:dyDescent="0.3">
      <c r="A431" s="2">
        <v>45219.125</v>
      </c>
      <c r="B431">
        <v>26.60329200595471</v>
      </c>
      <c r="C431">
        <v>67.032170415669839</v>
      </c>
      <c r="D431">
        <v>899.77915173679924</v>
      </c>
      <c r="E431">
        <v>4.6377632014044163</v>
      </c>
      <c r="F431">
        <v>1.7898353711820649</v>
      </c>
      <c r="G431">
        <f t="shared" si="6"/>
        <v>3</v>
      </c>
      <c r="H431" t="str" cm="1">
        <f t="array" ref="H431">_xlfn.IFS(AND(G431&gt;=6,G431&lt;=12),"上",AND(G431&gt;=13,G431&lt;=18),"下",AND(G431&gt;=19,G431&lt;=24),"晚",AND(G431&lt;=5),"晚")</f>
        <v>晚</v>
      </c>
    </row>
    <row r="432" spans="1:8" x14ac:dyDescent="0.3">
      <c r="A432" s="2">
        <v>45104.458333333343</v>
      </c>
      <c r="B432">
        <v>23.531208682404959</v>
      </c>
      <c r="C432">
        <v>60.894924309481183</v>
      </c>
      <c r="D432">
        <v>378.50458266934407</v>
      </c>
      <c r="E432">
        <v>1.068109272065237</v>
      </c>
      <c r="F432">
        <v>1.225988509381903</v>
      </c>
      <c r="G432">
        <f t="shared" si="6"/>
        <v>11</v>
      </c>
      <c r="H432" t="str" cm="1">
        <f t="array" ref="H432">_xlfn.IFS(AND(G432&gt;=6,G432&lt;=12),"上",AND(G432&gt;=13,G432&lt;=18),"下",AND(G432&gt;=19,G432&lt;=24),"晚",AND(G432&lt;=5),"晚")</f>
        <v>上</v>
      </c>
    </row>
    <row r="433" spans="1:8" x14ac:dyDescent="0.3">
      <c r="A433" s="2">
        <v>45231.416666666657</v>
      </c>
      <c r="B433">
        <v>25.19797278280457</v>
      </c>
      <c r="C433">
        <v>46.027235954234243</v>
      </c>
      <c r="D433">
        <v>421.98376825086149</v>
      </c>
      <c r="E433">
        <v>1.4842644703464261</v>
      </c>
      <c r="F433">
        <v>1.3209591762404791</v>
      </c>
      <c r="G433">
        <f t="shared" si="6"/>
        <v>10</v>
      </c>
      <c r="H433" t="str" cm="1">
        <f t="array" ref="H433">_xlfn.IFS(AND(G433&gt;=6,G433&lt;=12),"上",AND(G433&gt;=13,G433&lt;=18),"下",AND(G433&gt;=19,G433&lt;=24),"晚",AND(G433&lt;=5),"晚")</f>
        <v>上</v>
      </c>
    </row>
    <row r="434" spans="1:8" x14ac:dyDescent="0.3">
      <c r="A434" s="2">
        <v>45190.125</v>
      </c>
      <c r="B434">
        <v>23.014974791337991</v>
      </c>
      <c r="C434">
        <v>57.579607256918472</v>
      </c>
      <c r="D434">
        <v>977.02560580657121</v>
      </c>
      <c r="E434">
        <v>3.172196965400266</v>
      </c>
      <c r="F434">
        <v>0.83140318892266052</v>
      </c>
      <c r="G434">
        <f t="shared" si="6"/>
        <v>3</v>
      </c>
      <c r="H434" t="str" cm="1">
        <f t="array" ref="H434">_xlfn.IFS(AND(G434&gt;=6,G434&lt;=12),"上",AND(G434&gt;=13,G434&lt;=18),"下",AND(G434&gt;=19,G434&lt;=24),"晚",AND(G434&lt;=5),"晚")</f>
        <v>晚</v>
      </c>
    </row>
    <row r="435" spans="1:8" x14ac:dyDescent="0.3">
      <c r="A435" s="2">
        <v>45283.833333333343</v>
      </c>
      <c r="B435">
        <v>25.967907154163189</v>
      </c>
      <c r="C435">
        <v>58.390735058371703</v>
      </c>
      <c r="D435">
        <v>490.52964008672279</v>
      </c>
      <c r="E435">
        <v>3.7621011251861889</v>
      </c>
      <c r="F435">
        <v>1.372277883382083</v>
      </c>
      <c r="G435">
        <f t="shared" si="6"/>
        <v>20</v>
      </c>
      <c r="H435" t="str" cm="1">
        <f t="array" ref="H435">_xlfn.IFS(AND(G435&gt;=6,G435&lt;=12),"上",AND(G435&gt;=13,G435&lt;=18),"下",AND(G435&gt;=19,G435&lt;=24),"晚",AND(G435&lt;=5),"晚")</f>
        <v>晚</v>
      </c>
    </row>
    <row r="436" spans="1:8" x14ac:dyDescent="0.3">
      <c r="A436" s="2">
        <v>44940.583333333343</v>
      </c>
      <c r="B436">
        <v>27.724021772527099</v>
      </c>
      <c r="C436">
        <v>43.610185647907919</v>
      </c>
      <c r="D436">
        <v>464.23527965512869</v>
      </c>
      <c r="E436">
        <v>2.8593542512268519</v>
      </c>
      <c r="F436">
        <v>0.86782029696743079</v>
      </c>
      <c r="G436">
        <f t="shared" si="6"/>
        <v>14</v>
      </c>
      <c r="H436" t="str" cm="1">
        <f t="array" ref="H436">_xlfn.IFS(AND(G436&gt;=6,G436&lt;=12),"上",AND(G436&gt;=13,G436&lt;=18),"下",AND(G436&gt;=19,G436&lt;=24),"晚",AND(G436&lt;=5),"晚")</f>
        <v>下</v>
      </c>
    </row>
    <row r="437" spans="1:8" x14ac:dyDescent="0.3">
      <c r="A437" s="2">
        <v>45148.583333333343</v>
      </c>
      <c r="B437">
        <v>26.98696279734644</v>
      </c>
      <c r="C437">
        <v>31.587460558369589</v>
      </c>
      <c r="D437">
        <v>932.82456872265413</v>
      </c>
      <c r="E437">
        <v>1.7282672021397441</v>
      </c>
      <c r="F437">
        <v>1.2553313186601449</v>
      </c>
      <c r="G437">
        <f t="shared" si="6"/>
        <v>14</v>
      </c>
      <c r="H437" t="str" cm="1">
        <f t="array" ref="H437">_xlfn.IFS(AND(G437&gt;=6,G437&lt;=12),"上",AND(G437&gt;=13,G437&lt;=18),"下",AND(G437&gt;=19,G437&lt;=24),"晚",AND(G437&lt;=5),"晚")</f>
        <v>下</v>
      </c>
    </row>
    <row r="438" spans="1:8" x14ac:dyDescent="0.3">
      <c r="A438" s="2">
        <v>45077.666666666657</v>
      </c>
      <c r="B438">
        <v>24.325053282848049</v>
      </c>
      <c r="C438">
        <v>54.892580683840627</v>
      </c>
      <c r="D438">
        <v>268.5720968399055</v>
      </c>
      <c r="E438">
        <v>2.6811222268083261</v>
      </c>
      <c r="F438">
        <v>1.118039009078676</v>
      </c>
      <c r="G438">
        <f t="shared" si="6"/>
        <v>16</v>
      </c>
      <c r="H438" t="str" cm="1">
        <f t="array" ref="H438">_xlfn.IFS(AND(G438&gt;=6,G438&lt;=12),"上",AND(G438&gt;=13,G438&lt;=18),"下",AND(G438&gt;=19,G438&lt;=24),"晚",AND(G438&lt;=5),"晚")</f>
        <v>下</v>
      </c>
    </row>
    <row r="439" spans="1:8" x14ac:dyDescent="0.3">
      <c r="A439" s="2">
        <v>44966.583333333343</v>
      </c>
      <c r="B439">
        <v>25.247284010563011</v>
      </c>
      <c r="C439">
        <v>67.923349810991198</v>
      </c>
      <c r="D439">
        <v>526.66819705079115</v>
      </c>
      <c r="E439">
        <v>1.821447033706808</v>
      </c>
      <c r="F439">
        <v>0.68502242990377471</v>
      </c>
      <c r="G439">
        <f t="shared" si="6"/>
        <v>14</v>
      </c>
      <c r="H439" t="str" cm="1">
        <f t="array" ref="H439">_xlfn.IFS(AND(G439&gt;=6,G439&lt;=12),"上",AND(G439&gt;=13,G439&lt;=18),"下",AND(G439&gt;=19,G439&lt;=24),"晚",AND(G439&lt;=5),"晚")</f>
        <v>下</v>
      </c>
    </row>
    <row r="440" spans="1:8" x14ac:dyDescent="0.3">
      <c r="A440" s="2">
        <v>44961.916666666657</v>
      </c>
      <c r="B440">
        <v>27.72418496659359</v>
      </c>
      <c r="C440">
        <v>59.911491594618518</v>
      </c>
      <c r="D440">
        <v>536.88337664874609</v>
      </c>
      <c r="E440">
        <v>4.216803270822</v>
      </c>
      <c r="F440">
        <v>0.25884471084429239</v>
      </c>
      <c r="G440">
        <f t="shared" si="6"/>
        <v>22</v>
      </c>
      <c r="H440" t="str" cm="1">
        <f t="array" ref="H440">_xlfn.IFS(AND(G440&gt;=6,G440&lt;=12),"上",AND(G440&gt;=13,G440&lt;=18),"下",AND(G440&gt;=19,G440&lt;=24),"晚",AND(G440&lt;=5),"晚")</f>
        <v>晚</v>
      </c>
    </row>
    <row r="441" spans="1:8" x14ac:dyDescent="0.3">
      <c r="A441" s="2">
        <v>45262.958333333343</v>
      </c>
      <c r="B441">
        <v>22.328529091533611</v>
      </c>
      <c r="C441">
        <v>39.119495545212622</v>
      </c>
      <c r="D441">
        <v>768.27543282418617</v>
      </c>
      <c r="E441">
        <v>3.1688913396409939</v>
      </c>
      <c r="F441">
        <v>0.33294745008857668</v>
      </c>
      <c r="G441">
        <f t="shared" si="6"/>
        <v>23</v>
      </c>
      <c r="H441" t="str" cm="1">
        <f t="array" ref="H441">_xlfn.IFS(AND(G441&gt;=6,G441&lt;=12),"上",AND(G441&gt;=13,G441&lt;=18),"下",AND(G441&gt;=19,G441&lt;=24),"晚",AND(G441&lt;=5),"晚")</f>
        <v>晚</v>
      </c>
    </row>
    <row r="442" spans="1:8" x14ac:dyDescent="0.3">
      <c r="A442" s="2">
        <v>45068.208333333343</v>
      </c>
      <c r="B442">
        <v>22.212985990015479</v>
      </c>
      <c r="C442">
        <v>52.23241205765683</v>
      </c>
      <c r="D442">
        <v>491.87215222015539</v>
      </c>
      <c r="E442">
        <v>2.6354101547690418</v>
      </c>
      <c r="F442">
        <v>1.192320727100306</v>
      </c>
      <c r="G442">
        <f t="shared" si="6"/>
        <v>5</v>
      </c>
      <c r="H442" t="str" cm="1">
        <f t="array" ref="H442">_xlfn.IFS(AND(G442&gt;=6,G442&lt;=12),"上",AND(G442&gt;=13,G442&lt;=18),"下",AND(G442&gt;=19,G442&lt;=24),"晚",AND(G442&lt;=5),"晚")</f>
        <v>晚</v>
      </c>
    </row>
    <row r="443" spans="1:8" x14ac:dyDescent="0.3">
      <c r="A443" s="2">
        <v>44946.208333333343</v>
      </c>
      <c r="B443">
        <v>24.84986813136037</v>
      </c>
      <c r="C443">
        <v>45.608589244765909</v>
      </c>
      <c r="D443">
        <v>876.8999008494111</v>
      </c>
      <c r="E443">
        <v>1.566664588810567</v>
      </c>
      <c r="F443">
        <v>0.23891171323240731</v>
      </c>
      <c r="G443">
        <f t="shared" si="6"/>
        <v>5</v>
      </c>
      <c r="H443" t="str" cm="1">
        <f t="array" ref="H443">_xlfn.IFS(AND(G443&gt;=6,G443&lt;=12),"上",AND(G443&gt;=13,G443&lt;=18),"下",AND(G443&gt;=19,G443&lt;=24),"晚",AND(G443&lt;=5),"晚")</f>
        <v>晚</v>
      </c>
    </row>
    <row r="444" spans="1:8" x14ac:dyDescent="0.3">
      <c r="A444" s="2">
        <v>45094.125</v>
      </c>
      <c r="B444">
        <v>24.941364782806669</v>
      </c>
      <c r="C444">
        <v>51.860021185905431</v>
      </c>
      <c r="D444">
        <v>703.22228319000237</v>
      </c>
      <c r="E444">
        <v>3.0577524594491869</v>
      </c>
      <c r="F444">
        <v>0.96080558026268315</v>
      </c>
      <c r="G444">
        <f t="shared" si="6"/>
        <v>3</v>
      </c>
      <c r="H444" t="str" cm="1">
        <f t="array" ref="H444">_xlfn.IFS(AND(G444&gt;=6,G444&lt;=12),"上",AND(G444&gt;=13,G444&lt;=18),"下",AND(G444&gt;=19,G444&lt;=24),"晚",AND(G444&lt;=5),"晚")</f>
        <v>晚</v>
      </c>
    </row>
    <row r="445" spans="1:8" x14ac:dyDescent="0.3">
      <c r="A445" s="2">
        <v>44982.791666666657</v>
      </c>
      <c r="B445">
        <v>20.234727479320171</v>
      </c>
      <c r="C445">
        <v>58.962379618164391</v>
      </c>
      <c r="D445">
        <v>937.87077931551721</v>
      </c>
      <c r="E445">
        <v>3.2655613758704081</v>
      </c>
      <c r="F445">
        <v>1.808215781329751</v>
      </c>
      <c r="G445">
        <f t="shared" si="6"/>
        <v>19</v>
      </c>
      <c r="H445" t="str" cm="1">
        <f t="array" ref="H445">_xlfn.IFS(AND(G445&gt;=6,G445&lt;=12),"上",AND(G445&gt;=13,G445&lt;=18),"下",AND(G445&gt;=19,G445&lt;=24),"晚",AND(G445&lt;=5),"晚")</f>
        <v>晚</v>
      </c>
    </row>
    <row r="446" spans="1:8" x14ac:dyDescent="0.3">
      <c r="A446" s="2">
        <v>45213.916666666657</v>
      </c>
      <c r="B446">
        <v>25.819463389001061</v>
      </c>
      <c r="C446">
        <v>49.468686184382392</v>
      </c>
      <c r="D446">
        <v>335.81906959852768</v>
      </c>
      <c r="E446">
        <v>3.6124189610293662</v>
      </c>
      <c r="F446">
        <v>1.207014240544616</v>
      </c>
      <c r="G446">
        <f t="shared" si="6"/>
        <v>22</v>
      </c>
      <c r="H446" t="str" cm="1">
        <f t="array" ref="H446">_xlfn.IFS(AND(G446&gt;=6,G446&lt;=12),"上",AND(G446&gt;=13,G446&lt;=18),"下",AND(G446&gt;=19,G446&lt;=24),"晚",AND(G446&lt;=5),"晚")</f>
        <v>晚</v>
      </c>
    </row>
    <row r="447" spans="1:8" x14ac:dyDescent="0.3">
      <c r="A447" s="2">
        <v>44977.083333333343</v>
      </c>
      <c r="B447">
        <v>24.17741432300565</v>
      </c>
      <c r="C447">
        <v>66.492650448235267</v>
      </c>
      <c r="D447">
        <v>831.16225734262412</v>
      </c>
      <c r="E447">
        <v>3.8222200792666849</v>
      </c>
      <c r="F447">
        <v>1.9556596227433221</v>
      </c>
      <c r="G447">
        <f t="shared" si="6"/>
        <v>2</v>
      </c>
      <c r="H447" t="str" cm="1">
        <f t="array" ref="H447">_xlfn.IFS(AND(G447&gt;=6,G447&lt;=12),"上",AND(G447&gt;=13,G447&lt;=18),"下",AND(G447&gt;=19,G447&lt;=24),"晚",AND(G447&lt;=5),"晚")</f>
        <v>晚</v>
      </c>
    </row>
    <row r="448" spans="1:8" x14ac:dyDescent="0.3">
      <c r="A448" s="2">
        <v>45156.916666666657</v>
      </c>
      <c r="B448">
        <v>25.763797049856361</v>
      </c>
      <c r="C448">
        <v>57.684587516490147</v>
      </c>
      <c r="D448">
        <v>205.0958880631608</v>
      </c>
      <c r="E448">
        <v>1.1673110279745911</v>
      </c>
      <c r="F448">
        <v>0.64697356344434021</v>
      </c>
      <c r="G448">
        <f t="shared" si="6"/>
        <v>22</v>
      </c>
      <c r="H448" t="str" cm="1">
        <f t="array" ref="H448">_xlfn.IFS(AND(G448&gt;=6,G448&lt;=12),"上",AND(G448&gt;=13,G448&lt;=18),"下",AND(G448&gt;=19,G448&lt;=24),"晚",AND(G448&lt;=5),"晚")</f>
        <v>晚</v>
      </c>
    </row>
    <row r="449" spans="1:8" x14ac:dyDescent="0.3">
      <c r="A449" s="2">
        <v>45160.166666666657</v>
      </c>
      <c r="B449">
        <v>29.14823673939074</v>
      </c>
      <c r="C449">
        <v>44.092753657804558</v>
      </c>
      <c r="D449">
        <v>821.73708858343878</v>
      </c>
      <c r="E449">
        <v>2.5111887491697908</v>
      </c>
      <c r="F449">
        <v>1.3348355236091709</v>
      </c>
      <c r="G449">
        <f t="shared" si="6"/>
        <v>4</v>
      </c>
      <c r="H449" t="str" cm="1">
        <f t="array" ref="H449">_xlfn.IFS(AND(G449&gt;=6,G449&lt;=12),"上",AND(G449&gt;=13,G449&lt;=18),"下",AND(G449&gt;=19,G449&lt;=24),"晚",AND(G449&lt;=5),"晚")</f>
        <v>晚</v>
      </c>
    </row>
    <row r="450" spans="1:8" x14ac:dyDescent="0.3">
      <c r="A450" s="2">
        <v>45258.291666666657</v>
      </c>
      <c r="B450">
        <v>23.331180830392451</v>
      </c>
      <c r="C450">
        <v>54.493353029570933</v>
      </c>
      <c r="D450">
        <v>863.85631559227863</v>
      </c>
      <c r="E450">
        <v>2.4881506901062891</v>
      </c>
      <c r="F450">
        <v>1.876034301631273</v>
      </c>
      <c r="G450">
        <f t="shared" si="6"/>
        <v>7</v>
      </c>
      <c r="H450" t="str" cm="1">
        <f t="array" ref="H450">_xlfn.IFS(AND(G450&gt;=6,G450&lt;=12),"上",AND(G450&gt;=13,G450&lt;=18),"下",AND(G450&gt;=19,G450&lt;=24),"晚",AND(G450&lt;=5),"晚")</f>
        <v>上</v>
      </c>
    </row>
    <row r="451" spans="1:8" x14ac:dyDescent="0.3">
      <c r="A451" s="2">
        <v>45226.958333333343</v>
      </c>
      <c r="B451">
        <v>21.07835844247948</v>
      </c>
      <c r="C451">
        <v>48.21506887781365</v>
      </c>
      <c r="D451">
        <v>465.93683475886343</v>
      </c>
      <c r="E451">
        <v>1.6819666672807749</v>
      </c>
      <c r="F451">
        <v>0.76386808004503737</v>
      </c>
      <c r="G451">
        <f t="shared" ref="G451:G514" si="7">HOUR(A451)</f>
        <v>23</v>
      </c>
      <c r="H451" t="str" cm="1">
        <f t="array" ref="H451">_xlfn.IFS(AND(G451&gt;=6,G451&lt;=12),"上",AND(G451&gt;=13,G451&lt;=18),"下",AND(G451&gt;=19,G451&lt;=24),"晚",AND(G451&lt;=5),"晚")</f>
        <v>晚</v>
      </c>
    </row>
    <row r="452" spans="1:8" x14ac:dyDescent="0.3">
      <c r="A452" s="2">
        <v>44943.208333333343</v>
      </c>
      <c r="B452">
        <v>22.065186887895759</v>
      </c>
      <c r="C452">
        <v>61.681233557805911</v>
      </c>
      <c r="D452">
        <v>730.01245279770922</v>
      </c>
      <c r="E452">
        <v>2.288871696507055</v>
      </c>
      <c r="F452">
        <v>1.11380304034148</v>
      </c>
      <c r="G452">
        <f t="shared" si="7"/>
        <v>5</v>
      </c>
      <c r="H452" t="str" cm="1">
        <f t="array" ref="H452">_xlfn.IFS(AND(G452&gt;=6,G452&lt;=12),"上",AND(G452&gt;=13,G452&lt;=18),"下",AND(G452&gt;=19,G452&lt;=24),"晚",AND(G452&lt;=5),"晚")</f>
        <v>晚</v>
      </c>
    </row>
    <row r="453" spans="1:8" x14ac:dyDescent="0.3">
      <c r="A453" s="2">
        <v>45208.416666666657</v>
      </c>
      <c r="B453">
        <v>23.065370579122181</v>
      </c>
      <c r="C453">
        <v>30.297983105206061</v>
      </c>
      <c r="D453">
        <v>971.83220920644317</v>
      </c>
      <c r="E453">
        <v>1.176551232759159</v>
      </c>
      <c r="F453">
        <v>1.709639095158128</v>
      </c>
      <c r="G453">
        <f t="shared" si="7"/>
        <v>10</v>
      </c>
      <c r="H453" t="str" cm="1">
        <f t="array" ref="H453">_xlfn.IFS(AND(G453&gt;=6,G453&lt;=12),"上",AND(G453&gt;=13,G453&lt;=18),"下",AND(G453&gt;=19,G453&lt;=24),"晚",AND(G453&lt;=5),"晚")</f>
        <v>上</v>
      </c>
    </row>
    <row r="454" spans="1:8" x14ac:dyDescent="0.3">
      <c r="A454" s="2">
        <v>44991.041666666657</v>
      </c>
      <c r="B454">
        <v>28.634700959530981</v>
      </c>
      <c r="C454">
        <v>53.422620469890731</v>
      </c>
      <c r="D454">
        <v>266.44051226439512</v>
      </c>
      <c r="E454">
        <v>2.8485729451170192</v>
      </c>
      <c r="F454">
        <v>0.72953590142060287</v>
      </c>
      <c r="G454">
        <f t="shared" si="7"/>
        <v>1</v>
      </c>
      <c r="H454" t="str" cm="1">
        <f t="array" ref="H454">_xlfn.IFS(AND(G454&gt;=6,G454&lt;=12),"上",AND(G454&gt;=13,G454&lt;=18),"下",AND(G454&gt;=19,G454&lt;=24),"晚",AND(G454&lt;=5),"晚")</f>
        <v>晚</v>
      </c>
    </row>
    <row r="455" spans="1:8" x14ac:dyDescent="0.3">
      <c r="A455" s="2">
        <v>45280.791666666657</v>
      </c>
      <c r="B455">
        <v>25.490742921137301</v>
      </c>
      <c r="C455">
        <v>30.93965604632772</v>
      </c>
      <c r="D455">
        <v>656.32686244378795</v>
      </c>
      <c r="E455">
        <v>3.0552766895062091</v>
      </c>
      <c r="F455">
        <v>0.1170117206895302</v>
      </c>
      <c r="G455">
        <f t="shared" si="7"/>
        <v>19</v>
      </c>
      <c r="H455" t="str" cm="1">
        <f t="array" ref="H455">_xlfn.IFS(AND(G455&gt;=6,G455&lt;=12),"上",AND(G455&gt;=13,G455&lt;=18),"下",AND(G455&gt;=19,G455&lt;=24),"晚",AND(G455&lt;=5),"晚")</f>
        <v>晚</v>
      </c>
    </row>
    <row r="456" spans="1:8" x14ac:dyDescent="0.3">
      <c r="A456" s="2">
        <v>45277.791666666657</v>
      </c>
      <c r="B456">
        <v>29.95082066501174</v>
      </c>
      <c r="C456">
        <v>69.173375842691229</v>
      </c>
      <c r="D456">
        <v>142.68747768206879</v>
      </c>
      <c r="E456">
        <v>2.9568118652184152</v>
      </c>
      <c r="F456">
        <v>1.981428485043826</v>
      </c>
      <c r="G456">
        <f t="shared" si="7"/>
        <v>19</v>
      </c>
      <c r="H456" t="str" cm="1">
        <f t="array" ref="H456">_xlfn.IFS(AND(G456&gt;=6,G456&lt;=12),"上",AND(G456&gt;=13,G456&lt;=18),"下",AND(G456&gt;=19,G456&lt;=24),"晚",AND(G456&lt;=5),"晚")</f>
        <v>晚</v>
      </c>
    </row>
    <row r="457" spans="1:8" x14ac:dyDescent="0.3">
      <c r="A457" s="2">
        <v>45093.083333333343</v>
      </c>
      <c r="B457">
        <v>22.850320159405062</v>
      </c>
      <c r="C457">
        <v>50.3013016609018</v>
      </c>
      <c r="D457">
        <v>404.74330752360629</v>
      </c>
      <c r="E457">
        <v>1.567936332843954</v>
      </c>
      <c r="F457">
        <v>0.87163289552174705</v>
      </c>
      <c r="G457">
        <f t="shared" si="7"/>
        <v>2</v>
      </c>
      <c r="H457" t="str" cm="1">
        <f t="array" ref="H457">_xlfn.IFS(AND(G457&gt;=6,G457&lt;=12),"上",AND(G457&gt;=13,G457&lt;=18),"下",AND(G457&gt;=19,G457&lt;=24),"晚",AND(G457&lt;=5),"晚")</f>
        <v>晚</v>
      </c>
    </row>
    <row r="458" spans="1:8" x14ac:dyDescent="0.3">
      <c r="A458" s="2">
        <v>45145.458333333343</v>
      </c>
      <c r="B458">
        <v>20.68726816118869</v>
      </c>
      <c r="C458">
        <v>41.151980245000537</v>
      </c>
      <c r="D458">
        <v>227.06810571364531</v>
      </c>
      <c r="E458">
        <v>1.4234600626609559</v>
      </c>
      <c r="F458">
        <v>0.30800249479255692</v>
      </c>
      <c r="G458">
        <f t="shared" si="7"/>
        <v>11</v>
      </c>
      <c r="H458" t="str" cm="1">
        <f t="array" ref="H458">_xlfn.IFS(AND(G458&gt;=6,G458&lt;=12),"上",AND(G458&gt;=13,G458&lt;=18),"下",AND(G458&gt;=19,G458&lt;=24),"晚",AND(G458&lt;=5),"晚")</f>
        <v>上</v>
      </c>
    </row>
    <row r="459" spans="1:8" x14ac:dyDescent="0.3">
      <c r="A459" s="2">
        <v>44977.75</v>
      </c>
      <c r="B459">
        <v>23.011881362852879</v>
      </c>
      <c r="C459">
        <v>34.427980565329129</v>
      </c>
      <c r="D459">
        <v>583.10469247059689</v>
      </c>
      <c r="E459">
        <v>4.0366574814202938</v>
      </c>
      <c r="F459">
        <v>1.4984521880449251</v>
      </c>
      <c r="G459">
        <f t="shared" si="7"/>
        <v>18</v>
      </c>
      <c r="H459" t="str" cm="1">
        <f t="array" ref="H459">_xlfn.IFS(AND(G459&gt;=6,G459&lt;=12),"上",AND(G459&gt;=13,G459&lt;=18),"下",AND(G459&gt;=19,G459&lt;=24),"晚",AND(G459&lt;=5),"晚")</f>
        <v>下</v>
      </c>
    </row>
    <row r="460" spans="1:8" x14ac:dyDescent="0.3">
      <c r="A460" s="2">
        <v>45143.833333333343</v>
      </c>
      <c r="B460">
        <v>29.92594932447977</v>
      </c>
      <c r="C460">
        <v>43.66780851111811</v>
      </c>
      <c r="D460">
        <v>642.89427090545769</v>
      </c>
      <c r="E460">
        <v>3.9955021575325769</v>
      </c>
      <c r="F460">
        <v>0.71761304203654019</v>
      </c>
      <c r="G460">
        <f t="shared" si="7"/>
        <v>20</v>
      </c>
      <c r="H460" t="str" cm="1">
        <f t="array" ref="H460">_xlfn.IFS(AND(G460&gt;=6,G460&lt;=12),"上",AND(G460&gt;=13,G460&lt;=18),"下",AND(G460&gt;=19,G460&lt;=24),"晚",AND(G460&lt;=5),"晚")</f>
        <v>晚</v>
      </c>
    </row>
    <row r="461" spans="1:8" x14ac:dyDescent="0.3">
      <c r="A461" s="2">
        <v>44957.916666666657</v>
      </c>
      <c r="B461">
        <v>27.430991647381308</v>
      </c>
      <c r="C461">
        <v>55.363168887242779</v>
      </c>
      <c r="D461">
        <v>990.46519122711197</v>
      </c>
      <c r="E461">
        <v>2.187857478436344</v>
      </c>
      <c r="F461">
        <v>0.4200677887546761</v>
      </c>
      <c r="G461">
        <f t="shared" si="7"/>
        <v>22</v>
      </c>
      <c r="H461" t="str" cm="1">
        <f t="array" ref="H461">_xlfn.IFS(AND(G461&gt;=6,G461&lt;=12),"上",AND(G461&gt;=13,G461&lt;=18),"下",AND(G461&gt;=19,G461&lt;=24),"晚",AND(G461&lt;=5),"晚")</f>
        <v>晚</v>
      </c>
    </row>
    <row r="462" spans="1:8" x14ac:dyDescent="0.3">
      <c r="A462" s="2">
        <v>45020.833333333343</v>
      </c>
      <c r="B462">
        <v>29.150613496497851</v>
      </c>
      <c r="C462">
        <v>68.915532845041014</v>
      </c>
      <c r="D462">
        <v>970.12223651697695</v>
      </c>
      <c r="E462">
        <v>3.7201118164862899</v>
      </c>
      <c r="F462">
        <v>0.32513198115379721</v>
      </c>
      <c r="G462">
        <f t="shared" si="7"/>
        <v>20</v>
      </c>
      <c r="H462" t="str" cm="1">
        <f t="array" ref="H462">_xlfn.IFS(AND(G462&gt;=6,G462&lt;=12),"上",AND(G462&gt;=13,G462&lt;=18),"下",AND(G462&gt;=19,G462&lt;=24),"晚",AND(G462&lt;=5),"晚")</f>
        <v>晚</v>
      </c>
    </row>
    <row r="463" spans="1:8" x14ac:dyDescent="0.3">
      <c r="A463" s="2">
        <v>45191</v>
      </c>
      <c r="B463">
        <v>25.9484473370896</v>
      </c>
      <c r="C463">
        <v>33.776013540912892</v>
      </c>
      <c r="D463">
        <v>894.39520662303255</v>
      </c>
      <c r="E463">
        <v>4.7660599447670862</v>
      </c>
      <c r="F463">
        <v>1.425389868278143</v>
      </c>
      <c r="G463">
        <f t="shared" si="7"/>
        <v>0</v>
      </c>
      <c r="H463" t="str" cm="1">
        <f t="array" ref="H463">_xlfn.IFS(AND(G463&gt;=6,G463&lt;=12),"上",AND(G463&gt;=13,G463&lt;=18),"下",AND(G463&gt;=19,G463&lt;=24),"晚",AND(G463&lt;=5),"晚")</f>
        <v>晚</v>
      </c>
    </row>
    <row r="464" spans="1:8" x14ac:dyDescent="0.3">
      <c r="A464" s="2">
        <v>45154.791666666657</v>
      </c>
      <c r="B464">
        <v>22.753634503798239</v>
      </c>
      <c r="C464">
        <v>38.409479949356388</v>
      </c>
      <c r="D464">
        <v>610.7331561908602</v>
      </c>
      <c r="E464">
        <v>4.3560956097497687</v>
      </c>
      <c r="F464">
        <v>1.987198208013238</v>
      </c>
      <c r="G464">
        <f t="shared" si="7"/>
        <v>19</v>
      </c>
      <c r="H464" t="str" cm="1">
        <f t="array" ref="H464">_xlfn.IFS(AND(G464&gt;=6,G464&lt;=12),"上",AND(G464&gt;=13,G464&lt;=18),"下",AND(G464&gt;=19,G464&lt;=24),"晚",AND(G464&lt;=5),"晚")</f>
        <v>晚</v>
      </c>
    </row>
    <row r="465" spans="1:8" x14ac:dyDescent="0.3">
      <c r="A465" s="2">
        <v>45084.916666666657</v>
      </c>
      <c r="B465">
        <v>29.54431378957381</v>
      </c>
      <c r="C465">
        <v>41.077733391381699</v>
      </c>
      <c r="D465">
        <v>897.45656621261071</v>
      </c>
      <c r="E465">
        <v>2.1816742711138861</v>
      </c>
      <c r="F465">
        <v>0.84463789621656238</v>
      </c>
      <c r="G465">
        <f t="shared" si="7"/>
        <v>22</v>
      </c>
      <c r="H465" t="str" cm="1">
        <f t="array" ref="H465">_xlfn.IFS(AND(G465&gt;=6,G465&lt;=12),"上",AND(G465&gt;=13,G465&lt;=18),"下",AND(G465&gt;=19,G465&lt;=24),"晚",AND(G465&lt;=5),"晚")</f>
        <v>晚</v>
      </c>
    </row>
    <row r="466" spans="1:8" x14ac:dyDescent="0.3">
      <c r="A466" s="2">
        <v>45040.083333333343</v>
      </c>
      <c r="B466">
        <v>22.291564523747919</v>
      </c>
      <c r="C466">
        <v>60.640165038238109</v>
      </c>
      <c r="D466">
        <v>419.42603544162739</v>
      </c>
      <c r="E466">
        <v>1.5329217228627621</v>
      </c>
      <c r="F466">
        <v>1.551103355673946</v>
      </c>
      <c r="G466">
        <f t="shared" si="7"/>
        <v>2</v>
      </c>
      <c r="H466" t="str" cm="1">
        <f t="array" ref="H466">_xlfn.IFS(AND(G466&gt;=6,G466&lt;=12),"上",AND(G466&gt;=13,G466&lt;=18),"下",AND(G466&gt;=19,G466&lt;=24),"晚",AND(G466&lt;=5),"晚")</f>
        <v>晚</v>
      </c>
    </row>
    <row r="467" spans="1:8" x14ac:dyDescent="0.3">
      <c r="A467" s="2">
        <v>45073.208333333343</v>
      </c>
      <c r="B467">
        <v>23.971140340328141</v>
      </c>
      <c r="C467">
        <v>33.158936409895183</v>
      </c>
      <c r="D467">
        <v>280.83812664722529</v>
      </c>
      <c r="E467">
        <v>1.2049114595556389</v>
      </c>
      <c r="F467">
        <v>1.343056608007239</v>
      </c>
      <c r="G467">
        <f t="shared" si="7"/>
        <v>5</v>
      </c>
      <c r="H467" t="str" cm="1">
        <f t="array" ref="H467">_xlfn.IFS(AND(G467&gt;=6,G467&lt;=12),"上",AND(G467&gt;=13,G467&lt;=18),"下",AND(G467&gt;=19,G467&lt;=24),"晚",AND(G467&lt;=5),"晚")</f>
        <v>晚</v>
      </c>
    </row>
    <row r="468" spans="1:8" x14ac:dyDescent="0.3">
      <c r="A468" s="2">
        <v>45269.375</v>
      </c>
      <c r="B468">
        <v>22.933878070194421</v>
      </c>
      <c r="C468">
        <v>65.775893647322079</v>
      </c>
      <c r="D468">
        <v>573.4408483276211</v>
      </c>
      <c r="E468">
        <v>3.014913331205936</v>
      </c>
      <c r="F468">
        <v>0.89982686779353194</v>
      </c>
      <c r="G468">
        <f t="shared" si="7"/>
        <v>9</v>
      </c>
      <c r="H468" t="str" cm="1">
        <f t="array" ref="H468">_xlfn.IFS(AND(G468&gt;=6,G468&lt;=12),"上",AND(G468&gt;=13,G468&lt;=18),"下",AND(G468&gt;=19,G468&lt;=24),"晚",AND(G468&lt;=5),"晚")</f>
        <v>上</v>
      </c>
    </row>
    <row r="469" spans="1:8" x14ac:dyDescent="0.3">
      <c r="A469" s="2">
        <v>45156.75</v>
      </c>
      <c r="B469">
        <v>26.434590492433191</v>
      </c>
      <c r="C469">
        <v>38.759479880222962</v>
      </c>
      <c r="D469">
        <v>578.08836850212708</v>
      </c>
      <c r="E469">
        <v>2.8301452322892731</v>
      </c>
      <c r="F469">
        <v>0.19297448714899729</v>
      </c>
      <c r="G469">
        <f t="shared" si="7"/>
        <v>18</v>
      </c>
      <c r="H469" t="str" cm="1">
        <f t="array" ref="H469">_xlfn.IFS(AND(G469&gt;=6,G469&lt;=12),"上",AND(G469&gt;=13,G469&lt;=18),"下",AND(G469&gt;=19,G469&lt;=24),"晚",AND(G469&lt;=5),"晚")</f>
        <v>下</v>
      </c>
    </row>
    <row r="470" spans="1:8" x14ac:dyDescent="0.3">
      <c r="A470" s="2">
        <v>45124.208333333343</v>
      </c>
      <c r="B470">
        <v>24.180097259576758</v>
      </c>
      <c r="C470">
        <v>58.721103870917808</v>
      </c>
      <c r="D470">
        <v>919.06447514241722</v>
      </c>
      <c r="E470">
        <v>4.0045534046389264</v>
      </c>
      <c r="F470">
        <v>0.87791501330782473</v>
      </c>
      <c r="G470">
        <f t="shared" si="7"/>
        <v>5</v>
      </c>
      <c r="H470" t="str" cm="1">
        <f t="array" ref="H470">_xlfn.IFS(AND(G470&gt;=6,G470&lt;=12),"上",AND(G470&gt;=13,G470&lt;=18),"下",AND(G470&gt;=19,G470&lt;=24),"晚",AND(G470&lt;=5),"晚")</f>
        <v>晚</v>
      </c>
    </row>
    <row r="471" spans="1:8" x14ac:dyDescent="0.3">
      <c r="A471" s="2">
        <v>45021.958333333343</v>
      </c>
      <c r="B471">
        <v>29.57108208344523</v>
      </c>
      <c r="C471">
        <v>60.422070580667537</v>
      </c>
      <c r="D471">
        <v>105.16262276987359</v>
      </c>
      <c r="E471">
        <v>4.0734157431723386</v>
      </c>
      <c r="F471">
        <v>0.15560479951059389</v>
      </c>
      <c r="G471">
        <f t="shared" si="7"/>
        <v>23</v>
      </c>
      <c r="H471" t="str" cm="1">
        <f t="array" ref="H471">_xlfn.IFS(AND(G471&gt;=6,G471&lt;=12),"上",AND(G471&gt;=13,G471&lt;=18),"下",AND(G471&gt;=19,G471&lt;=24),"晚",AND(G471&lt;=5),"晚")</f>
        <v>晚</v>
      </c>
    </row>
    <row r="472" spans="1:8" x14ac:dyDescent="0.3">
      <c r="A472" s="2">
        <v>45277.208333333343</v>
      </c>
      <c r="B472">
        <v>29.674200787195868</v>
      </c>
      <c r="C472">
        <v>65.723348367857724</v>
      </c>
      <c r="D472">
        <v>869.9963074856845</v>
      </c>
      <c r="E472">
        <v>1.2799150042752869</v>
      </c>
      <c r="F472">
        <v>1.9092591235198459</v>
      </c>
      <c r="G472">
        <f t="shared" si="7"/>
        <v>5</v>
      </c>
      <c r="H472" t="str" cm="1">
        <f t="array" ref="H472">_xlfn.IFS(AND(G472&gt;=6,G472&lt;=12),"上",AND(G472&gt;=13,G472&lt;=18),"下",AND(G472&gt;=19,G472&lt;=24),"晚",AND(G472&lt;=5),"晚")</f>
        <v>晚</v>
      </c>
    </row>
    <row r="473" spans="1:8" x14ac:dyDescent="0.3">
      <c r="A473" s="2">
        <v>45210.208333333343</v>
      </c>
      <c r="B473">
        <v>20.969140180143651</v>
      </c>
      <c r="C473">
        <v>38.301556759329763</v>
      </c>
      <c r="D473">
        <v>647.41194718181828</v>
      </c>
      <c r="E473">
        <v>4.8857266066368403</v>
      </c>
      <c r="F473">
        <v>0.87783759529353467</v>
      </c>
      <c r="G473">
        <f t="shared" si="7"/>
        <v>5</v>
      </c>
      <c r="H473" t="str" cm="1">
        <f t="array" ref="H473">_xlfn.IFS(AND(G473&gt;=6,G473&lt;=12),"上",AND(G473&gt;=13,G473&lt;=18),"下",AND(G473&gt;=19,G473&lt;=24),"晚",AND(G473&lt;=5),"晚")</f>
        <v>晚</v>
      </c>
    </row>
    <row r="474" spans="1:8" x14ac:dyDescent="0.3">
      <c r="A474" s="2">
        <v>44953</v>
      </c>
      <c r="B474">
        <v>29.283330925386881</v>
      </c>
      <c r="C474">
        <v>58.930707100014551</v>
      </c>
      <c r="D474">
        <v>945.68004712297034</v>
      </c>
      <c r="E474">
        <v>2.031656613900684</v>
      </c>
      <c r="F474">
        <v>1.2005563559251009</v>
      </c>
      <c r="G474">
        <f t="shared" si="7"/>
        <v>0</v>
      </c>
      <c r="H474" t="str" cm="1">
        <f t="array" ref="H474">_xlfn.IFS(AND(G474&gt;=6,G474&lt;=12),"上",AND(G474&gt;=13,G474&lt;=18),"下",AND(G474&gt;=19,G474&lt;=24),"晚",AND(G474&lt;=5),"晚")</f>
        <v>晚</v>
      </c>
    </row>
    <row r="475" spans="1:8" x14ac:dyDescent="0.3">
      <c r="A475" s="2">
        <v>45197.125</v>
      </c>
      <c r="B475">
        <v>27.979960151715471</v>
      </c>
      <c r="C475">
        <v>44.123039001287978</v>
      </c>
      <c r="D475">
        <v>770.69433888358003</v>
      </c>
      <c r="E475">
        <v>2.496409299721793</v>
      </c>
      <c r="F475">
        <v>1.8873962721262689</v>
      </c>
      <c r="G475">
        <f t="shared" si="7"/>
        <v>3</v>
      </c>
      <c r="H475" t="str" cm="1">
        <f t="array" ref="H475">_xlfn.IFS(AND(G475&gt;=6,G475&lt;=12),"上",AND(G475&gt;=13,G475&lt;=18),"下",AND(G475&gt;=19,G475&lt;=24),"晚",AND(G475&lt;=5),"晚")</f>
        <v>晚</v>
      </c>
    </row>
    <row r="476" spans="1:8" x14ac:dyDescent="0.3">
      <c r="A476" s="2">
        <v>45088.916666666657</v>
      </c>
      <c r="B476">
        <v>27.123374361336769</v>
      </c>
      <c r="C476">
        <v>45.531483880111942</v>
      </c>
      <c r="D476">
        <v>429.633505976631</v>
      </c>
      <c r="E476">
        <v>3.3051481262290392</v>
      </c>
      <c r="F476">
        <v>1.1944467682056821</v>
      </c>
      <c r="G476">
        <f t="shared" si="7"/>
        <v>22</v>
      </c>
      <c r="H476" t="str" cm="1">
        <f t="array" ref="H476">_xlfn.IFS(AND(G476&gt;=6,G476&lt;=12),"上",AND(G476&gt;=13,G476&lt;=18),"下",AND(G476&gt;=19,G476&lt;=24),"晚",AND(G476&lt;=5),"晚")</f>
        <v>晚</v>
      </c>
    </row>
    <row r="477" spans="1:8" x14ac:dyDescent="0.3">
      <c r="A477" s="2">
        <v>45122.125</v>
      </c>
      <c r="B477">
        <v>23.627859813533892</v>
      </c>
      <c r="C477">
        <v>50.332482273075762</v>
      </c>
      <c r="D477">
        <v>671.31924109061708</v>
      </c>
      <c r="E477">
        <v>1.1531304779164031</v>
      </c>
      <c r="F477">
        <v>0.42742496294098442</v>
      </c>
      <c r="G477">
        <f t="shared" si="7"/>
        <v>3</v>
      </c>
      <c r="H477" t="str" cm="1">
        <f t="array" ref="H477">_xlfn.IFS(AND(G477&gt;=6,G477&lt;=12),"上",AND(G477&gt;=13,G477&lt;=18),"下",AND(G477&gt;=19,G477&lt;=24),"晚",AND(G477&lt;=5),"晚")</f>
        <v>晚</v>
      </c>
    </row>
    <row r="478" spans="1:8" x14ac:dyDescent="0.3">
      <c r="A478" s="2">
        <v>45226.875</v>
      </c>
      <c r="B478">
        <v>26.795572398649931</v>
      </c>
      <c r="C478">
        <v>35.246949062086223</v>
      </c>
      <c r="D478">
        <v>432.74769771676449</v>
      </c>
      <c r="E478">
        <v>3.8515367852425508</v>
      </c>
      <c r="F478">
        <v>1.908065799846824</v>
      </c>
      <c r="G478">
        <f t="shared" si="7"/>
        <v>21</v>
      </c>
      <c r="H478" t="str" cm="1">
        <f t="array" ref="H478">_xlfn.IFS(AND(G478&gt;=6,G478&lt;=12),"上",AND(G478&gt;=13,G478&lt;=18),"下",AND(G478&gt;=19,G478&lt;=24),"晚",AND(G478&lt;=5),"晚")</f>
        <v>晚</v>
      </c>
    </row>
    <row r="479" spans="1:8" x14ac:dyDescent="0.3">
      <c r="A479" s="2">
        <v>45206.625</v>
      </c>
      <c r="B479">
        <v>28.106664339207679</v>
      </c>
      <c r="C479">
        <v>44.348981144906183</v>
      </c>
      <c r="D479">
        <v>929.40893478560793</v>
      </c>
      <c r="E479">
        <v>1.768799402631815</v>
      </c>
      <c r="F479">
        <v>0.4570857537398656</v>
      </c>
      <c r="G479">
        <f t="shared" si="7"/>
        <v>15</v>
      </c>
      <c r="H479" t="str" cm="1">
        <f t="array" ref="H479">_xlfn.IFS(AND(G479&gt;=6,G479&lt;=12),"上",AND(G479&gt;=13,G479&lt;=18),"下",AND(G479&gt;=19,G479&lt;=24),"晚",AND(G479&lt;=5),"晚")</f>
        <v>下</v>
      </c>
    </row>
    <row r="480" spans="1:8" x14ac:dyDescent="0.3">
      <c r="A480" s="2">
        <v>44948.041666666657</v>
      </c>
      <c r="B480">
        <v>28.304247459573009</v>
      </c>
      <c r="C480">
        <v>67.619574042555939</v>
      </c>
      <c r="D480">
        <v>117.71628239477251</v>
      </c>
      <c r="E480">
        <v>4.6679962725835829</v>
      </c>
      <c r="F480">
        <v>0.34347767268723228</v>
      </c>
      <c r="G480">
        <f t="shared" si="7"/>
        <v>1</v>
      </c>
      <c r="H480" t="str" cm="1">
        <f t="array" ref="H480">_xlfn.IFS(AND(G480&gt;=6,G480&lt;=12),"上",AND(G480&gt;=13,G480&lt;=18),"下",AND(G480&gt;=19,G480&lt;=24),"晚",AND(G480&lt;=5),"晚")</f>
        <v>晚</v>
      </c>
    </row>
    <row r="481" spans="1:8" x14ac:dyDescent="0.3">
      <c r="A481" s="2">
        <v>45132.583333333343</v>
      </c>
      <c r="B481">
        <v>28.057756185030531</v>
      </c>
      <c r="C481">
        <v>37.225149128629148</v>
      </c>
      <c r="D481">
        <v>599.31112398667892</v>
      </c>
      <c r="E481">
        <v>1.9869535500271149</v>
      </c>
      <c r="F481">
        <v>0.78865773173262421</v>
      </c>
      <c r="G481">
        <f t="shared" si="7"/>
        <v>14</v>
      </c>
      <c r="H481" t="str" cm="1">
        <f t="array" ref="H481">_xlfn.IFS(AND(G481&gt;=6,G481&lt;=12),"上",AND(G481&gt;=13,G481&lt;=18),"下",AND(G481&gt;=19,G481&lt;=24),"晚",AND(G481&lt;=5),"晚")</f>
        <v>下</v>
      </c>
    </row>
    <row r="482" spans="1:8" x14ac:dyDescent="0.3">
      <c r="A482" s="2">
        <v>45275.541666666657</v>
      </c>
      <c r="B482">
        <v>23.200235900597491</v>
      </c>
      <c r="C482">
        <v>42.606558081298431</v>
      </c>
      <c r="D482">
        <v>556.59825203800153</v>
      </c>
      <c r="E482">
        <v>2.6532306895262301</v>
      </c>
      <c r="F482">
        <v>0.92621658844861321</v>
      </c>
      <c r="G482">
        <f t="shared" si="7"/>
        <v>13</v>
      </c>
      <c r="H482" t="str" cm="1">
        <f t="array" ref="H482">_xlfn.IFS(AND(G482&gt;=6,G482&lt;=12),"上",AND(G482&gt;=13,G482&lt;=18),"下",AND(G482&gt;=19,G482&lt;=24),"晚",AND(G482&lt;=5),"晚")</f>
        <v>下</v>
      </c>
    </row>
    <row r="483" spans="1:8" x14ac:dyDescent="0.3">
      <c r="A483" s="2">
        <v>45132.875</v>
      </c>
      <c r="B483">
        <v>21.85012992024334</v>
      </c>
      <c r="C483">
        <v>62.291133668331227</v>
      </c>
      <c r="D483">
        <v>271.12560681210778</v>
      </c>
      <c r="E483">
        <v>1.8973004938895319</v>
      </c>
      <c r="F483">
        <v>1.9570077616036461</v>
      </c>
      <c r="G483">
        <f t="shared" si="7"/>
        <v>21</v>
      </c>
      <c r="H483" t="str" cm="1">
        <f t="array" ref="H483">_xlfn.IFS(AND(G483&gt;=6,G483&lt;=12),"上",AND(G483&gt;=13,G483&lt;=18),"下",AND(G483&gt;=19,G483&lt;=24),"晚",AND(G483&lt;=5),"晚")</f>
        <v>晚</v>
      </c>
    </row>
    <row r="484" spans="1:8" x14ac:dyDescent="0.3">
      <c r="A484" s="2">
        <v>45060.583333333343</v>
      </c>
      <c r="B484">
        <v>25.43775350622909</v>
      </c>
      <c r="C484">
        <v>39.999147703141738</v>
      </c>
      <c r="D484">
        <v>485.33199570052722</v>
      </c>
      <c r="E484">
        <v>3.584396283688446</v>
      </c>
      <c r="F484">
        <v>1.1527043351635511</v>
      </c>
      <c r="G484">
        <f t="shared" si="7"/>
        <v>14</v>
      </c>
      <c r="H484" t="str" cm="1">
        <f t="array" ref="H484">_xlfn.IFS(AND(G484&gt;=6,G484&lt;=12),"上",AND(G484&gt;=13,G484&lt;=18),"下",AND(G484&gt;=19,G484&lt;=24),"晚",AND(G484&lt;=5),"晚")</f>
        <v>下</v>
      </c>
    </row>
    <row r="485" spans="1:8" x14ac:dyDescent="0.3">
      <c r="A485" s="2">
        <v>44968.375</v>
      </c>
      <c r="B485">
        <v>22.542260209044219</v>
      </c>
      <c r="C485">
        <v>36.591616916442781</v>
      </c>
      <c r="D485">
        <v>367.20282283923638</v>
      </c>
      <c r="E485">
        <v>2.5092108162886348</v>
      </c>
      <c r="F485">
        <v>1.631097142936887</v>
      </c>
      <c r="G485">
        <f t="shared" si="7"/>
        <v>9</v>
      </c>
      <c r="H485" t="str" cm="1">
        <f t="array" ref="H485">_xlfn.IFS(AND(G485&gt;=6,G485&lt;=12),"上",AND(G485&gt;=13,G485&lt;=18),"下",AND(G485&gt;=19,G485&lt;=24),"晚",AND(G485&lt;=5),"晚")</f>
        <v>上</v>
      </c>
    </row>
    <row r="486" spans="1:8" x14ac:dyDescent="0.3">
      <c r="A486" s="2">
        <v>45067.791666666657</v>
      </c>
      <c r="B486">
        <v>27.849851823313909</v>
      </c>
      <c r="C486">
        <v>37.6205796217574</v>
      </c>
      <c r="D486">
        <v>703.36885749753208</v>
      </c>
      <c r="E486">
        <v>1.956700582076605</v>
      </c>
      <c r="F486">
        <v>1.5610690889405621</v>
      </c>
      <c r="G486">
        <f t="shared" si="7"/>
        <v>19</v>
      </c>
      <c r="H486" t="str" cm="1">
        <f t="array" ref="H486">_xlfn.IFS(AND(G486&gt;=6,G486&lt;=12),"上",AND(G486&gt;=13,G486&lt;=18),"下",AND(G486&gt;=19,G486&lt;=24),"晚",AND(G486&lt;=5),"晚")</f>
        <v>晚</v>
      </c>
    </row>
    <row r="487" spans="1:8" x14ac:dyDescent="0.3">
      <c r="A487" s="2">
        <v>45240.083333333343</v>
      </c>
      <c r="B487">
        <v>20.446699865237228</v>
      </c>
      <c r="C487">
        <v>69.427056591021142</v>
      </c>
      <c r="D487">
        <v>777.81585543192375</v>
      </c>
      <c r="E487">
        <v>4.3756853745890059</v>
      </c>
      <c r="F487">
        <v>0.86422987007496954</v>
      </c>
      <c r="G487">
        <f t="shared" si="7"/>
        <v>2</v>
      </c>
      <c r="H487" t="str" cm="1">
        <f t="array" ref="H487">_xlfn.IFS(AND(G487&gt;=6,G487&lt;=12),"上",AND(G487&gt;=13,G487&lt;=18),"下",AND(G487&gt;=19,G487&lt;=24),"晚",AND(G487&lt;=5),"晚")</f>
        <v>晚</v>
      </c>
    </row>
    <row r="488" spans="1:8" x14ac:dyDescent="0.3">
      <c r="A488" s="2">
        <v>44969.541666666657</v>
      </c>
      <c r="B488">
        <v>24.254085476545281</v>
      </c>
      <c r="C488">
        <v>46.532304403361948</v>
      </c>
      <c r="D488">
        <v>794.25611922449411</v>
      </c>
      <c r="E488">
        <v>3.811780452727406</v>
      </c>
      <c r="F488">
        <v>0.2418335495867758</v>
      </c>
      <c r="G488">
        <f t="shared" si="7"/>
        <v>13</v>
      </c>
      <c r="H488" t="str" cm="1">
        <f t="array" ref="H488">_xlfn.IFS(AND(G488&gt;=6,G488&lt;=12),"上",AND(G488&gt;=13,G488&lt;=18),"下",AND(G488&gt;=19,G488&lt;=24),"晚",AND(G488&lt;=5),"晚")</f>
        <v>下</v>
      </c>
    </row>
    <row r="489" spans="1:8" x14ac:dyDescent="0.3">
      <c r="A489" s="2">
        <v>45110.791666666657</v>
      </c>
      <c r="B489">
        <v>27.785880290226881</v>
      </c>
      <c r="C489">
        <v>45.838693170498424</v>
      </c>
      <c r="D489">
        <v>454.91673242997808</v>
      </c>
      <c r="E489">
        <v>2.88659470078845</v>
      </c>
      <c r="F489">
        <v>0.32748933678667158</v>
      </c>
      <c r="G489">
        <f t="shared" si="7"/>
        <v>19</v>
      </c>
      <c r="H489" t="str" cm="1">
        <f t="array" ref="H489">_xlfn.IFS(AND(G489&gt;=6,G489&lt;=12),"上",AND(G489&gt;=13,G489&lt;=18),"下",AND(G489&gt;=19,G489&lt;=24),"晚",AND(G489&lt;=5),"晚")</f>
        <v>晚</v>
      </c>
    </row>
    <row r="490" spans="1:8" x14ac:dyDescent="0.3">
      <c r="A490" s="2">
        <v>45248.25</v>
      </c>
      <c r="B490">
        <v>20.805591040876479</v>
      </c>
      <c r="C490">
        <v>60.280720667998203</v>
      </c>
      <c r="D490">
        <v>272.25042233397761</v>
      </c>
      <c r="E490">
        <v>2.143741579610519</v>
      </c>
      <c r="F490">
        <v>1.986162815012513</v>
      </c>
      <c r="G490">
        <f t="shared" si="7"/>
        <v>6</v>
      </c>
      <c r="H490" t="str" cm="1">
        <f t="array" ref="H490">_xlfn.IFS(AND(G490&gt;=6,G490&lt;=12),"上",AND(G490&gt;=13,G490&lt;=18),"下",AND(G490&gt;=19,G490&lt;=24),"晚",AND(G490&lt;=5),"晚")</f>
        <v>上</v>
      </c>
    </row>
    <row r="491" spans="1:8" x14ac:dyDescent="0.3">
      <c r="A491" s="2">
        <v>44987.875</v>
      </c>
      <c r="B491">
        <v>26.869791452858539</v>
      </c>
      <c r="C491">
        <v>32.50958706930615</v>
      </c>
      <c r="D491">
        <v>364.64509870704148</v>
      </c>
      <c r="E491">
        <v>4.4891724070948564</v>
      </c>
      <c r="F491">
        <v>1.7338959999055179</v>
      </c>
      <c r="G491">
        <f t="shared" si="7"/>
        <v>21</v>
      </c>
      <c r="H491" t="str" cm="1">
        <f t="array" ref="H491">_xlfn.IFS(AND(G491&gt;=6,G491&lt;=12),"上",AND(G491&gt;=13,G491&lt;=18),"下",AND(G491&gt;=19,G491&lt;=24),"晚",AND(G491&lt;=5),"晚")</f>
        <v>晚</v>
      </c>
    </row>
    <row r="492" spans="1:8" x14ac:dyDescent="0.3">
      <c r="A492" s="2">
        <v>44958.75</v>
      </c>
      <c r="B492">
        <v>22.310632564973051</v>
      </c>
      <c r="C492">
        <v>36.781513983185107</v>
      </c>
      <c r="D492">
        <v>581.26069895204341</v>
      </c>
      <c r="E492">
        <v>2.677535260695461</v>
      </c>
      <c r="F492">
        <v>0.75686469459790129</v>
      </c>
      <c r="G492">
        <f t="shared" si="7"/>
        <v>18</v>
      </c>
      <c r="H492" t="str" cm="1">
        <f t="array" ref="H492">_xlfn.IFS(AND(G492&gt;=6,G492&lt;=12),"上",AND(G492&gt;=13,G492&lt;=18),"下",AND(G492&gt;=19,G492&lt;=24),"晚",AND(G492&lt;=5),"晚")</f>
        <v>下</v>
      </c>
    </row>
    <row r="493" spans="1:8" x14ac:dyDescent="0.3">
      <c r="A493" s="2">
        <v>45217.916666666657</v>
      </c>
      <c r="B493">
        <v>21.273938927989171</v>
      </c>
      <c r="C493">
        <v>58.795204062949843</v>
      </c>
      <c r="D493">
        <v>653.77234909075196</v>
      </c>
      <c r="E493">
        <v>2.8615869299377898</v>
      </c>
      <c r="F493">
        <v>1.6822825385243281</v>
      </c>
      <c r="G493">
        <f t="shared" si="7"/>
        <v>22</v>
      </c>
      <c r="H493" t="str" cm="1">
        <f t="array" ref="H493">_xlfn.IFS(AND(G493&gt;=6,G493&lt;=12),"上",AND(G493&gt;=13,G493&lt;=18),"下",AND(G493&gt;=19,G493&lt;=24),"晚",AND(G493&lt;=5),"晚")</f>
        <v>晚</v>
      </c>
    </row>
    <row r="494" spans="1:8" x14ac:dyDescent="0.3">
      <c r="A494" s="2">
        <v>45272.875</v>
      </c>
      <c r="B494">
        <v>23.07886854583839</v>
      </c>
      <c r="C494">
        <v>42.78605067754858</v>
      </c>
      <c r="D494">
        <v>815.38567996363543</v>
      </c>
      <c r="E494">
        <v>1.7679720703227111</v>
      </c>
      <c r="F494">
        <v>1.8097480331641209</v>
      </c>
      <c r="G494">
        <f t="shared" si="7"/>
        <v>21</v>
      </c>
      <c r="H494" t="str" cm="1">
        <f t="array" ref="H494">_xlfn.IFS(AND(G494&gt;=6,G494&lt;=12),"上",AND(G494&gt;=13,G494&lt;=18),"下",AND(G494&gt;=19,G494&lt;=24),"晚",AND(G494&lt;=5),"晚")</f>
        <v>晚</v>
      </c>
    </row>
    <row r="495" spans="1:8" x14ac:dyDescent="0.3">
      <c r="A495" s="2">
        <v>45124.875</v>
      </c>
      <c r="B495">
        <v>20.193362479941779</v>
      </c>
      <c r="C495">
        <v>58.067132423286317</v>
      </c>
      <c r="D495">
        <v>747.76275236065794</v>
      </c>
      <c r="E495">
        <v>4.335681714224032</v>
      </c>
      <c r="F495">
        <v>1.8544506800501319</v>
      </c>
      <c r="G495">
        <f t="shared" si="7"/>
        <v>21</v>
      </c>
      <c r="H495" t="str" cm="1">
        <f t="array" ref="H495">_xlfn.IFS(AND(G495&gt;=6,G495&lt;=12),"上",AND(G495&gt;=13,G495&lt;=18),"下",AND(G495&gt;=19,G495&lt;=24),"晚",AND(G495&lt;=5),"晚")</f>
        <v>晚</v>
      </c>
    </row>
    <row r="496" spans="1:8" x14ac:dyDescent="0.3">
      <c r="A496" s="2">
        <v>45021.208333333343</v>
      </c>
      <c r="B496">
        <v>26.300224972868239</v>
      </c>
      <c r="C496">
        <v>30.91441375919965</v>
      </c>
      <c r="D496">
        <v>256.93291593231999</v>
      </c>
      <c r="E496">
        <v>3.1996202935365772</v>
      </c>
      <c r="F496">
        <v>1.762891385225549</v>
      </c>
      <c r="G496">
        <f t="shared" si="7"/>
        <v>5</v>
      </c>
      <c r="H496" t="str" cm="1">
        <f t="array" ref="H496">_xlfn.IFS(AND(G496&gt;=6,G496&lt;=12),"上",AND(G496&gt;=13,G496&lt;=18),"下",AND(G496&gt;=19,G496&lt;=24),"晚",AND(G496&lt;=5),"晚")</f>
        <v>晚</v>
      </c>
    </row>
    <row r="497" spans="1:8" x14ac:dyDescent="0.3">
      <c r="A497" s="2">
        <v>45076.833333333343</v>
      </c>
      <c r="B497">
        <v>23.32908882890095</v>
      </c>
      <c r="C497">
        <v>53.614384750054853</v>
      </c>
      <c r="D497">
        <v>769.59188989556799</v>
      </c>
      <c r="E497">
        <v>3.6275909824300752</v>
      </c>
      <c r="F497">
        <v>0.4538178101679966</v>
      </c>
      <c r="G497">
        <f t="shared" si="7"/>
        <v>20</v>
      </c>
      <c r="H497" t="str" cm="1">
        <f t="array" ref="H497">_xlfn.IFS(AND(G497&gt;=6,G497&lt;=12),"上",AND(G497&gt;=13,G497&lt;=18),"下",AND(G497&gt;=19,G497&lt;=24),"晚",AND(G497&lt;=5),"晚")</f>
        <v>晚</v>
      </c>
    </row>
    <row r="498" spans="1:8" x14ac:dyDescent="0.3">
      <c r="A498" s="2">
        <v>45046.166666666657</v>
      </c>
      <c r="B498">
        <v>29.937111994613989</v>
      </c>
      <c r="C498">
        <v>51.769829949327161</v>
      </c>
      <c r="D498">
        <v>203.5996340938953</v>
      </c>
      <c r="E498">
        <v>2.6752689191835302</v>
      </c>
      <c r="F498">
        <v>1.607583588001688</v>
      </c>
      <c r="G498">
        <f t="shared" si="7"/>
        <v>4</v>
      </c>
      <c r="H498" t="str" cm="1">
        <f t="array" ref="H498">_xlfn.IFS(AND(G498&gt;=6,G498&lt;=12),"上",AND(G498&gt;=13,G498&lt;=18),"下",AND(G498&gt;=19,G498&lt;=24),"晚",AND(G498&lt;=5),"晚")</f>
        <v>晚</v>
      </c>
    </row>
    <row r="499" spans="1:8" x14ac:dyDescent="0.3">
      <c r="A499" s="2">
        <v>45199.083333333343</v>
      </c>
      <c r="B499">
        <v>20.978393469456432</v>
      </c>
      <c r="C499">
        <v>35.794255013150703</v>
      </c>
      <c r="D499">
        <v>925.9790255266945</v>
      </c>
      <c r="E499">
        <v>1.077509533509915</v>
      </c>
      <c r="F499">
        <v>0.20570679938127881</v>
      </c>
      <c r="G499">
        <f t="shared" si="7"/>
        <v>2</v>
      </c>
      <c r="H499" t="str" cm="1">
        <f t="array" ref="H499">_xlfn.IFS(AND(G499&gt;=6,G499&lt;=12),"上",AND(G499&gt;=13,G499&lt;=18),"下",AND(G499&gt;=19,G499&lt;=24),"晚",AND(G499&lt;=5),"晚")</f>
        <v>晚</v>
      </c>
    </row>
    <row r="500" spans="1:8" x14ac:dyDescent="0.3">
      <c r="A500" s="2">
        <v>44953.666666666657</v>
      </c>
      <c r="B500">
        <v>28.948842758420369</v>
      </c>
      <c r="C500">
        <v>34.749434509721503</v>
      </c>
      <c r="D500">
        <v>720.79305350196671</v>
      </c>
      <c r="E500">
        <v>2.2020472699300861</v>
      </c>
      <c r="F500">
        <v>1.632401387812066</v>
      </c>
      <c r="G500">
        <f t="shared" si="7"/>
        <v>16</v>
      </c>
      <c r="H500" t="str" cm="1">
        <f t="array" ref="H500">_xlfn.IFS(AND(G500&gt;=6,G500&lt;=12),"上",AND(G500&gt;=13,G500&lt;=18),"下",AND(G500&gt;=19,G500&lt;=24),"晚",AND(G500&lt;=5),"晚")</f>
        <v>下</v>
      </c>
    </row>
    <row r="501" spans="1:8" x14ac:dyDescent="0.3">
      <c r="A501" s="2">
        <v>45277.208333333343</v>
      </c>
      <c r="B501">
        <v>24.97957748689128</v>
      </c>
      <c r="C501">
        <v>67.126167932145535</v>
      </c>
      <c r="D501">
        <v>200.72202984094531</v>
      </c>
      <c r="E501">
        <v>1.082688651072865</v>
      </c>
      <c r="F501">
        <v>1.1961265265123939</v>
      </c>
      <c r="G501">
        <f t="shared" si="7"/>
        <v>5</v>
      </c>
      <c r="H501" t="str" cm="1">
        <f t="array" ref="H501">_xlfn.IFS(AND(G501&gt;=6,G501&lt;=12),"上",AND(G501&gt;=13,G501&lt;=18),"下",AND(G501&gt;=19,G501&lt;=24),"晚",AND(G501&lt;=5),"晚")</f>
        <v>晚</v>
      </c>
    </row>
    <row r="502" spans="1:8" x14ac:dyDescent="0.3">
      <c r="A502" s="2">
        <v>45067.583333333343</v>
      </c>
      <c r="B502">
        <v>21.177007190930109</v>
      </c>
      <c r="C502">
        <v>50.200677533165262</v>
      </c>
      <c r="D502">
        <v>852.92006559720073</v>
      </c>
      <c r="E502">
        <v>1.119714151376622</v>
      </c>
      <c r="F502">
        <v>1.4963788846114261</v>
      </c>
      <c r="G502">
        <f t="shared" si="7"/>
        <v>14</v>
      </c>
      <c r="H502" t="str" cm="1">
        <f t="array" ref="H502">_xlfn.IFS(AND(G502&gt;=6,G502&lt;=12),"上",AND(G502&gt;=13,G502&lt;=18),"下",AND(G502&gt;=19,G502&lt;=24),"晚",AND(G502&lt;=5),"晚")</f>
        <v>下</v>
      </c>
    </row>
    <row r="503" spans="1:8" x14ac:dyDescent="0.3">
      <c r="A503" s="2">
        <v>45006.958333333343</v>
      </c>
      <c r="B503">
        <v>28.561173411486969</v>
      </c>
      <c r="C503">
        <v>31.996021171014789</v>
      </c>
      <c r="D503">
        <v>710.57702314306493</v>
      </c>
      <c r="E503">
        <v>4.9405137311643559</v>
      </c>
      <c r="F503">
        <v>1.144440567171328</v>
      </c>
      <c r="G503">
        <f t="shared" si="7"/>
        <v>23</v>
      </c>
      <c r="H503" t="str" cm="1">
        <f t="array" ref="H503">_xlfn.IFS(AND(G503&gt;=6,G503&lt;=12),"上",AND(G503&gt;=13,G503&lt;=18),"下",AND(G503&gt;=19,G503&lt;=24),"晚",AND(G503&lt;=5),"晚")</f>
        <v>晚</v>
      </c>
    </row>
    <row r="504" spans="1:8" x14ac:dyDescent="0.3">
      <c r="A504" s="2">
        <v>44980</v>
      </c>
      <c r="B504">
        <v>21.11045563651852</v>
      </c>
      <c r="C504">
        <v>35.942313575697369</v>
      </c>
      <c r="D504">
        <v>740.70741407927608</v>
      </c>
      <c r="E504">
        <v>1.378986832324935</v>
      </c>
      <c r="F504">
        <v>1.2352860867462421</v>
      </c>
      <c r="G504">
        <f t="shared" si="7"/>
        <v>0</v>
      </c>
      <c r="H504" t="str" cm="1">
        <f t="array" ref="H504">_xlfn.IFS(AND(G504&gt;=6,G504&lt;=12),"上",AND(G504&gt;=13,G504&lt;=18),"下",AND(G504&gt;=19,G504&lt;=24),"晚",AND(G504&lt;=5),"晚")</f>
        <v>晚</v>
      </c>
    </row>
    <row r="505" spans="1:8" x14ac:dyDescent="0.3">
      <c r="A505" s="2">
        <v>44986.458333333343</v>
      </c>
      <c r="B505">
        <v>26.458592807629721</v>
      </c>
      <c r="C505">
        <v>56.90211282413874</v>
      </c>
      <c r="D505">
        <v>538.68598827011374</v>
      </c>
      <c r="E505">
        <v>2.8039875545880841</v>
      </c>
      <c r="F505">
        <v>0.1703406105469171</v>
      </c>
      <c r="G505">
        <f t="shared" si="7"/>
        <v>11</v>
      </c>
      <c r="H505" t="str" cm="1">
        <f t="array" ref="H505">_xlfn.IFS(AND(G505&gt;=6,G505&lt;=12),"上",AND(G505&gt;=13,G505&lt;=18),"下",AND(G505&gt;=19,G505&lt;=24),"晚",AND(G505&lt;=5),"晚")</f>
        <v>上</v>
      </c>
    </row>
    <row r="506" spans="1:8" x14ac:dyDescent="0.3">
      <c r="A506" s="2">
        <v>45131.583333333343</v>
      </c>
      <c r="B506">
        <v>22.452175626097141</v>
      </c>
      <c r="C506">
        <v>49.07057771156262</v>
      </c>
      <c r="D506">
        <v>644.23469332890056</v>
      </c>
      <c r="E506">
        <v>4.3548779642650111</v>
      </c>
      <c r="F506">
        <v>0.1597659810558385</v>
      </c>
      <c r="G506">
        <f t="shared" si="7"/>
        <v>14</v>
      </c>
      <c r="H506" t="str" cm="1">
        <f t="array" ref="H506">_xlfn.IFS(AND(G506&gt;=6,G506&lt;=12),"上",AND(G506&gt;=13,G506&lt;=18),"下",AND(G506&gt;=19,G506&lt;=24),"晚",AND(G506&lt;=5),"晚")</f>
        <v>下</v>
      </c>
    </row>
    <row r="507" spans="1:8" x14ac:dyDescent="0.3">
      <c r="A507" s="2">
        <v>45131</v>
      </c>
      <c r="B507">
        <v>24.491175442063309</v>
      </c>
      <c r="C507">
        <v>53.906511452911047</v>
      </c>
      <c r="D507">
        <v>485.30226008148742</v>
      </c>
      <c r="E507">
        <v>2.6862015510939252</v>
      </c>
      <c r="F507">
        <v>1.643048147390626</v>
      </c>
      <c r="G507">
        <f t="shared" si="7"/>
        <v>0</v>
      </c>
      <c r="H507" t="str" cm="1">
        <f t="array" ref="H507">_xlfn.IFS(AND(G507&gt;=6,G507&lt;=12),"上",AND(G507&gt;=13,G507&lt;=18),"下",AND(G507&gt;=19,G507&lt;=24),"晚",AND(G507&lt;=5),"晚")</f>
        <v>晚</v>
      </c>
    </row>
    <row r="508" spans="1:8" x14ac:dyDescent="0.3">
      <c r="A508" s="2">
        <v>45282.958333333343</v>
      </c>
      <c r="B508">
        <v>25.73019923065436</v>
      </c>
      <c r="C508">
        <v>48.331003368408673</v>
      </c>
      <c r="D508">
        <v>610.7586017391825</v>
      </c>
      <c r="E508">
        <v>1.995009200768874</v>
      </c>
      <c r="F508">
        <v>0.65300709801960488</v>
      </c>
      <c r="G508">
        <f t="shared" si="7"/>
        <v>23</v>
      </c>
      <c r="H508" t="str" cm="1">
        <f t="array" ref="H508">_xlfn.IFS(AND(G508&gt;=6,G508&lt;=12),"上",AND(G508&gt;=13,G508&lt;=18),"下",AND(G508&gt;=19,G508&lt;=24),"晚",AND(G508&lt;=5),"晚")</f>
        <v>晚</v>
      </c>
    </row>
    <row r="509" spans="1:8" x14ac:dyDescent="0.3">
      <c r="A509" s="2">
        <v>45016.041666666657</v>
      </c>
      <c r="B509">
        <v>29.196754595876499</v>
      </c>
      <c r="C509">
        <v>67.020598901005371</v>
      </c>
      <c r="D509">
        <v>810.81204631340859</v>
      </c>
      <c r="E509">
        <v>2.656006322261931</v>
      </c>
      <c r="F509">
        <v>1.63370709128033</v>
      </c>
      <c r="G509">
        <f t="shared" si="7"/>
        <v>1</v>
      </c>
      <c r="H509" t="str" cm="1">
        <f t="array" ref="H509">_xlfn.IFS(AND(G509&gt;=6,G509&lt;=12),"上",AND(G509&gt;=13,G509&lt;=18),"下",AND(G509&gt;=19,G509&lt;=24),"晚",AND(G509&lt;=5),"晚")</f>
        <v>晚</v>
      </c>
    </row>
    <row r="510" spans="1:8" x14ac:dyDescent="0.3">
      <c r="A510" s="2">
        <v>45233.291666666657</v>
      </c>
      <c r="B510">
        <v>22.845137604876118</v>
      </c>
      <c r="C510">
        <v>63.00994910763189</v>
      </c>
      <c r="D510">
        <v>279.78797019604411</v>
      </c>
      <c r="E510">
        <v>4.2955554674800771</v>
      </c>
      <c r="F510">
        <v>1.4366578339463569</v>
      </c>
      <c r="G510">
        <f t="shared" si="7"/>
        <v>7</v>
      </c>
      <c r="H510" t="str" cm="1">
        <f t="array" ref="H510">_xlfn.IFS(AND(G510&gt;=6,G510&lt;=12),"上",AND(G510&gt;=13,G510&lt;=18),"下",AND(G510&gt;=19,G510&lt;=24),"晚",AND(G510&lt;=5),"晚")</f>
        <v>上</v>
      </c>
    </row>
    <row r="511" spans="1:8" x14ac:dyDescent="0.3">
      <c r="A511" s="2">
        <v>44942.541666666657</v>
      </c>
      <c r="B511">
        <v>23.876948465282911</v>
      </c>
      <c r="C511">
        <v>69.205779958914206</v>
      </c>
      <c r="D511">
        <v>888.30643600912367</v>
      </c>
      <c r="E511">
        <v>1.1795656928697491</v>
      </c>
      <c r="F511">
        <v>1.173400562958848</v>
      </c>
      <c r="G511">
        <f t="shared" si="7"/>
        <v>13</v>
      </c>
      <c r="H511" t="str" cm="1">
        <f t="array" ref="H511">_xlfn.IFS(AND(G511&gt;=6,G511&lt;=12),"上",AND(G511&gt;=13,G511&lt;=18),"下",AND(G511&gt;=19,G511&lt;=24),"晚",AND(G511&lt;=5),"晚")</f>
        <v>下</v>
      </c>
    </row>
    <row r="512" spans="1:8" x14ac:dyDescent="0.3">
      <c r="A512" s="2">
        <v>45249.958333333343</v>
      </c>
      <c r="B512">
        <v>21.995957707912179</v>
      </c>
      <c r="C512">
        <v>67.56931766854207</v>
      </c>
      <c r="D512">
        <v>375.40813424706568</v>
      </c>
      <c r="E512">
        <v>2.9551113083538891</v>
      </c>
      <c r="F512">
        <v>0.29942577550309551</v>
      </c>
      <c r="G512">
        <f t="shared" si="7"/>
        <v>23</v>
      </c>
      <c r="H512" t="str" cm="1">
        <f t="array" ref="H512">_xlfn.IFS(AND(G512&gt;=6,G512&lt;=12),"上",AND(G512&gt;=13,G512&lt;=18),"下",AND(G512&gt;=19,G512&lt;=24),"晚",AND(G512&lt;=5),"晚")</f>
        <v>晚</v>
      </c>
    </row>
    <row r="513" spans="1:8" x14ac:dyDescent="0.3">
      <c r="A513" s="2">
        <v>45036.458333333343</v>
      </c>
      <c r="B513">
        <v>23.436216353275039</v>
      </c>
      <c r="C513">
        <v>59.147915946729647</v>
      </c>
      <c r="D513">
        <v>232.80985777831461</v>
      </c>
      <c r="E513">
        <v>1.7740238793898619</v>
      </c>
      <c r="F513">
        <v>0.22548056775566749</v>
      </c>
      <c r="G513">
        <f t="shared" si="7"/>
        <v>11</v>
      </c>
      <c r="H513" t="str" cm="1">
        <f t="array" ref="H513">_xlfn.IFS(AND(G513&gt;=6,G513&lt;=12),"上",AND(G513&gt;=13,G513&lt;=18),"下",AND(G513&gt;=19,G513&lt;=24),"晚",AND(G513&lt;=5),"晚")</f>
        <v>上</v>
      </c>
    </row>
    <row r="514" spans="1:8" x14ac:dyDescent="0.3">
      <c r="A514" s="2">
        <v>44963.708333333343</v>
      </c>
      <c r="B514">
        <v>21.258118279219101</v>
      </c>
      <c r="C514">
        <v>32.101216840855258</v>
      </c>
      <c r="D514">
        <v>671.09415517123182</v>
      </c>
      <c r="E514">
        <v>1.2410773177223069</v>
      </c>
      <c r="F514">
        <v>0.82956482939230203</v>
      </c>
      <c r="G514">
        <f t="shared" si="7"/>
        <v>17</v>
      </c>
      <c r="H514" t="str" cm="1">
        <f t="array" ref="H514">_xlfn.IFS(AND(G514&gt;=6,G514&lt;=12),"上",AND(G514&gt;=13,G514&lt;=18),"下",AND(G514&gt;=19,G514&lt;=24),"晚",AND(G514&lt;=5),"晚")</f>
        <v>下</v>
      </c>
    </row>
    <row r="515" spans="1:8" x14ac:dyDescent="0.3">
      <c r="A515" s="2">
        <v>44950.583333333343</v>
      </c>
      <c r="B515">
        <v>25.48083396145411</v>
      </c>
      <c r="C515">
        <v>69.964071066278933</v>
      </c>
      <c r="D515">
        <v>571.9687743697275</v>
      </c>
      <c r="E515">
        <v>4.1422179102180552</v>
      </c>
      <c r="F515">
        <v>1.8579786008272019</v>
      </c>
      <c r="G515">
        <f t="shared" ref="G515:G578" si="8">HOUR(A515)</f>
        <v>14</v>
      </c>
      <c r="H515" t="str" cm="1">
        <f t="array" ref="H515">_xlfn.IFS(AND(G515&gt;=6,G515&lt;=12),"上",AND(G515&gt;=13,G515&lt;=18),"下",AND(G515&gt;=19,G515&lt;=24),"晚",AND(G515&lt;=5),"晚")</f>
        <v>下</v>
      </c>
    </row>
    <row r="516" spans="1:8" x14ac:dyDescent="0.3">
      <c r="A516" s="2">
        <v>45274.5</v>
      </c>
      <c r="B516">
        <v>25.59231613789051</v>
      </c>
      <c r="C516">
        <v>48.932747826346201</v>
      </c>
      <c r="D516">
        <v>362.38014037484072</v>
      </c>
      <c r="E516">
        <v>1.0579300666927891</v>
      </c>
      <c r="F516">
        <v>0.52990029873023292</v>
      </c>
      <c r="G516">
        <f t="shared" si="8"/>
        <v>12</v>
      </c>
      <c r="H516" t="str" cm="1">
        <f t="array" ref="H516">_xlfn.IFS(AND(G516&gt;=6,G516&lt;=12),"上",AND(G516&gt;=13,G516&lt;=18),"下",AND(G516&gt;=19,G516&lt;=24),"晚",AND(G516&lt;=5),"晚")</f>
        <v>上</v>
      </c>
    </row>
    <row r="517" spans="1:8" x14ac:dyDescent="0.3">
      <c r="A517" s="2">
        <v>44975.125</v>
      </c>
      <c r="B517">
        <v>26.233731362154568</v>
      </c>
      <c r="C517">
        <v>32.439881425457337</v>
      </c>
      <c r="D517">
        <v>665.35364955100556</v>
      </c>
      <c r="E517">
        <v>2.6598317864753138</v>
      </c>
      <c r="F517">
        <v>0.90225742104681927</v>
      </c>
      <c r="G517">
        <f t="shared" si="8"/>
        <v>3</v>
      </c>
      <c r="H517" t="str" cm="1">
        <f t="array" ref="H517">_xlfn.IFS(AND(G517&gt;=6,G517&lt;=12),"上",AND(G517&gt;=13,G517&lt;=18),"下",AND(G517&gt;=19,G517&lt;=24),"晚",AND(G517&lt;=5),"晚")</f>
        <v>晚</v>
      </c>
    </row>
    <row r="518" spans="1:8" x14ac:dyDescent="0.3">
      <c r="A518" s="2">
        <v>44984.166666666657</v>
      </c>
      <c r="B518">
        <v>22.303523796379022</v>
      </c>
      <c r="C518">
        <v>69.656932420105704</v>
      </c>
      <c r="D518">
        <v>742.91668663969244</v>
      </c>
      <c r="E518">
        <v>3.182011109922334</v>
      </c>
      <c r="F518">
        <v>1.3192068119662239</v>
      </c>
      <c r="G518">
        <f t="shared" si="8"/>
        <v>4</v>
      </c>
      <c r="H518" t="str" cm="1">
        <f t="array" ref="H518">_xlfn.IFS(AND(G518&gt;=6,G518&lt;=12),"上",AND(G518&gt;=13,G518&lt;=18),"下",AND(G518&gt;=19,G518&lt;=24),"晚",AND(G518&lt;=5),"晚")</f>
        <v>晚</v>
      </c>
    </row>
    <row r="519" spans="1:8" x14ac:dyDescent="0.3">
      <c r="A519" s="2">
        <v>45207.958333333343</v>
      </c>
      <c r="B519">
        <v>24.323556528541509</v>
      </c>
      <c r="C519">
        <v>52.81506870485773</v>
      </c>
      <c r="D519">
        <v>345.32920699208353</v>
      </c>
      <c r="E519">
        <v>1.6915349309053671</v>
      </c>
      <c r="F519">
        <v>1.0437335326286821</v>
      </c>
      <c r="G519">
        <f t="shared" si="8"/>
        <v>23</v>
      </c>
      <c r="H519" t="str" cm="1">
        <f t="array" ref="H519">_xlfn.IFS(AND(G519&gt;=6,G519&lt;=12),"上",AND(G519&gt;=13,G519&lt;=18),"下",AND(G519&gt;=19,G519&lt;=24),"晚",AND(G519&lt;=5),"晚")</f>
        <v>晚</v>
      </c>
    </row>
    <row r="520" spans="1:8" x14ac:dyDescent="0.3">
      <c r="A520" s="2">
        <v>45076.25</v>
      </c>
      <c r="B520">
        <v>20.414290874689559</v>
      </c>
      <c r="C520">
        <v>48.360160909958807</v>
      </c>
      <c r="D520">
        <v>204.97675641616809</v>
      </c>
      <c r="E520">
        <v>4.5978266174205746</v>
      </c>
      <c r="F520">
        <v>0.14768231262406051</v>
      </c>
      <c r="G520">
        <f t="shared" si="8"/>
        <v>6</v>
      </c>
      <c r="H520" t="str" cm="1">
        <f t="array" ref="H520">_xlfn.IFS(AND(G520&gt;=6,G520&lt;=12),"上",AND(G520&gt;=13,G520&lt;=18),"下",AND(G520&gt;=19,G520&lt;=24),"晚",AND(G520&lt;=5),"晚")</f>
        <v>上</v>
      </c>
    </row>
    <row r="521" spans="1:8" x14ac:dyDescent="0.3">
      <c r="A521" s="2">
        <v>45274.375</v>
      </c>
      <c r="B521">
        <v>20.40256687607534</v>
      </c>
      <c r="C521">
        <v>30.791577233322531</v>
      </c>
      <c r="D521">
        <v>559.27460543289294</v>
      </c>
      <c r="E521">
        <v>2.6347223096914769</v>
      </c>
      <c r="F521">
        <v>1.421044359056715</v>
      </c>
      <c r="G521">
        <f t="shared" si="8"/>
        <v>9</v>
      </c>
      <c r="H521" t="str" cm="1">
        <f t="array" ref="H521">_xlfn.IFS(AND(G521&gt;=6,G521&lt;=12),"上",AND(G521&gt;=13,G521&lt;=18),"下",AND(G521&gt;=19,G521&lt;=24),"晚",AND(G521&lt;=5),"晚")</f>
        <v>上</v>
      </c>
    </row>
    <row r="522" spans="1:8" x14ac:dyDescent="0.3">
      <c r="A522" s="2">
        <v>44975.791666666657</v>
      </c>
      <c r="B522">
        <v>23.094628583880539</v>
      </c>
      <c r="C522">
        <v>47.136046778260351</v>
      </c>
      <c r="D522">
        <v>354.68138539416651</v>
      </c>
      <c r="E522">
        <v>1.7284151898097679</v>
      </c>
      <c r="F522">
        <v>1.8449745815737639</v>
      </c>
      <c r="G522">
        <f t="shared" si="8"/>
        <v>19</v>
      </c>
      <c r="H522" t="str" cm="1">
        <f t="array" ref="H522">_xlfn.IFS(AND(G522&gt;=6,G522&lt;=12),"上",AND(G522&gt;=13,G522&lt;=18),"下",AND(G522&gt;=19,G522&lt;=24),"晚",AND(G522&lt;=5),"晚")</f>
        <v>晚</v>
      </c>
    </row>
    <row r="523" spans="1:8" x14ac:dyDescent="0.3">
      <c r="A523" s="2">
        <v>45233.666666666657</v>
      </c>
      <c r="B523">
        <v>24.891429511745521</v>
      </c>
      <c r="C523">
        <v>37.330829887524771</v>
      </c>
      <c r="D523">
        <v>392.70262689139889</v>
      </c>
      <c r="E523">
        <v>3.4447182976448998</v>
      </c>
      <c r="F523">
        <v>1.239419166548426</v>
      </c>
      <c r="G523">
        <f t="shared" si="8"/>
        <v>16</v>
      </c>
      <c r="H523" t="str" cm="1">
        <f t="array" ref="H523">_xlfn.IFS(AND(G523&gt;=6,G523&lt;=12),"上",AND(G523&gt;=13,G523&lt;=18),"下",AND(G523&gt;=19,G523&lt;=24),"晚",AND(G523&lt;=5),"晚")</f>
        <v>下</v>
      </c>
    </row>
    <row r="524" spans="1:8" x14ac:dyDescent="0.3">
      <c r="A524" s="2">
        <v>45101.958333333343</v>
      </c>
      <c r="B524">
        <v>26.929740181623131</v>
      </c>
      <c r="C524">
        <v>58.757959686162977</v>
      </c>
      <c r="D524">
        <v>544.57202988767006</v>
      </c>
      <c r="E524">
        <v>3.557794766102774</v>
      </c>
      <c r="F524">
        <v>1.2027840980127991</v>
      </c>
      <c r="G524">
        <f t="shared" si="8"/>
        <v>23</v>
      </c>
      <c r="H524" t="str" cm="1">
        <f t="array" ref="H524">_xlfn.IFS(AND(G524&gt;=6,G524&lt;=12),"上",AND(G524&gt;=13,G524&lt;=18),"下",AND(G524&gt;=19,G524&lt;=24),"晚",AND(G524&lt;=5),"晚")</f>
        <v>晚</v>
      </c>
    </row>
    <row r="525" spans="1:8" x14ac:dyDescent="0.3">
      <c r="A525" s="2">
        <v>45000.541666666657</v>
      </c>
      <c r="B525">
        <v>27.586734650146219</v>
      </c>
      <c r="C525">
        <v>30.314676100943029</v>
      </c>
      <c r="D525">
        <v>758.08041907826657</v>
      </c>
      <c r="E525">
        <v>2.554685705608005</v>
      </c>
      <c r="F525">
        <v>1.687066659125964</v>
      </c>
      <c r="G525">
        <f t="shared" si="8"/>
        <v>13</v>
      </c>
      <c r="H525" t="str" cm="1">
        <f t="array" ref="H525">_xlfn.IFS(AND(G525&gt;=6,G525&lt;=12),"上",AND(G525&gt;=13,G525&lt;=18),"下",AND(G525&gt;=19,G525&lt;=24),"晚",AND(G525&lt;=5),"晚")</f>
        <v>下</v>
      </c>
    </row>
    <row r="526" spans="1:8" x14ac:dyDescent="0.3">
      <c r="A526" s="2">
        <v>44978.916666666657</v>
      </c>
      <c r="B526">
        <v>24.017809800459201</v>
      </c>
      <c r="C526">
        <v>51.321427220264667</v>
      </c>
      <c r="D526">
        <v>113.4639821590566</v>
      </c>
      <c r="E526">
        <v>1.125873452969351</v>
      </c>
      <c r="F526">
        <v>1.6823929669024369</v>
      </c>
      <c r="G526">
        <f t="shared" si="8"/>
        <v>22</v>
      </c>
      <c r="H526" t="str" cm="1">
        <f t="array" ref="H526">_xlfn.IFS(AND(G526&gt;=6,G526&lt;=12),"上",AND(G526&gt;=13,G526&lt;=18),"下",AND(G526&gt;=19,G526&lt;=24),"晚",AND(G526&lt;=5),"晚")</f>
        <v>晚</v>
      </c>
    </row>
    <row r="527" spans="1:8" x14ac:dyDescent="0.3">
      <c r="A527" s="2">
        <v>45167.416666666657</v>
      </c>
      <c r="B527">
        <v>27.556064215953349</v>
      </c>
      <c r="C527">
        <v>31.748648734603929</v>
      </c>
      <c r="D527">
        <v>530.39563453349524</v>
      </c>
      <c r="E527">
        <v>3.6465838789028768</v>
      </c>
      <c r="F527">
        <v>0.45483740276115842</v>
      </c>
      <c r="G527">
        <f t="shared" si="8"/>
        <v>10</v>
      </c>
      <c r="H527" t="str" cm="1">
        <f t="array" ref="H527">_xlfn.IFS(AND(G527&gt;=6,G527&lt;=12),"上",AND(G527&gt;=13,G527&lt;=18),"下",AND(G527&gt;=19,G527&lt;=24),"晚",AND(G527&lt;=5),"晚")</f>
        <v>上</v>
      </c>
    </row>
    <row r="528" spans="1:8" x14ac:dyDescent="0.3">
      <c r="A528" s="2">
        <v>44972.875</v>
      </c>
      <c r="B528">
        <v>27.27604010657328</v>
      </c>
      <c r="C528">
        <v>58.593199836090953</v>
      </c>
      <c r="D528">
        <v>211.14112751312601</v>
      </c>
      <c r="E528">
        <v>1.9510665230805211</v>
      </c>
      <c r="F528">
        <v>0.90236837957913074</v>
      </c>
      <c r="G528">
        <f t="shared" si="8"/>
        <v>21</v>
      </c>
      <c r="H528" t="str" cm="1">
        <f t="array" ref="H528">_xlfn.IFS(AND(G528&gt;=6,G528&lt;=12),"上",AND(G528&gt;=13,G528&lt;=18),"下",AND(G528&gt;=19,G528&lt;=24),"晚",AND(G528&lt;=5),"晚")</f>
        <v>晚</v>
      </c>
    </row>
    <row r="529" spans="1:8" x14ac:dyDescent="0.3">
      <c r="A529" s="2">
        <v>45071.166666666657</v>
      </c>
      <c r="B529">
        <v>26.324741705384739</v>
      </c>
      <c r="C529">
        <v>68.120779712373334</v>
      </c>
      <c r="D529">
        <v>867.90504107033951</v>
      </c>
      <c r="E529">
        <v>1.5997023648242099</v>
      </c>
      <c r="F529">
        <v>1.6566125858320191</v>
      </c>
      <c r="G529">
        <f t="shared" si="8"/>
        <v>4</v>
      </c>
      <c r="H529" t="str" cm="1">
        <f t="array" ref="H529">_xlfn.IFS(AND(G529&gt;=6,G529&lt;=12),"上",AND(G529&gt;=13,G529&lt;=18),"下",AND(G529&gt;=19,G529&lt;=24),"晚",AND(G529&lt;=5),"晚")</f>
        <v>晚</v>
      </c>
    </row>
    <row r="530" spans="1:8" x14ac:dyDescent="0.3">
      <c r="A530" s="2">
        <v>45263.291666666657</v>
      </c>
      <c r="B530">
        <v>21.416297611487039</v>
      </c>
      <c r="C530">
        <v>31.732821929913811</v>
      </c>
      <c r="D530">
        <v>333.79907393615201</v>
      </c>
      <c r="E530">
        <v>4.28374856126241</v>
      </c>
      <c r="F530">
        <v>1.4961845370328959</v>
      </c>
      <c r="G530">
        <f t="shared" si="8"/>
        <v>7</v>
      </c>
      <c r="H530" t="str" cm="1">
        <f t="array" ref="H530">_xlfn.IFS(AND(G530&gt;=6,G530&lt;=12),"上",AND(G530&gt;=13,G530&lt;=18),"下",AND(G530&gt;=19,G530&lt;=24),"晚",AND(G530&lt;=5),"晚")</f>
        <v>上</v>
      </c>
    </row>
    <row r="531" spans="1:8" x14ac:dyDescent="0.3">
      <c r="A531" s="2">
        <v>45286.458333333343</v>
      </c>
      <c r="B531">
        <v>22.872439885769261</v>
      </c>
      <c r="C531">
        <v>34.123366446673622</v>
      </c>
      <c r="D531">
        <v>463.60309101487832</v>
      </c>
      <c r="E531">
        <v>3.0169656351062111</v>
      </c>
      <c r="F531">
        <v>1.704337265683223</v>
      </c>
      <c r="G531">
        <f t="shared" si="8"/>
        <v>11</v>
      </c>
      <c r="H531" t="str" cm="1">
        <f t="array" ref="H531">_xlfn.IFS(AND(G531&gt;=6,G531&lt;=12),"上",AND(G531&gt;=13,G531&lt;=18),"下",AND(G531&gt;=19,G531&lt;=24),"晚",AND(G531&lt;=5),"晚")</f>
        <v>上</v>
      </c>
    </row>
    <row r="532" spans="1:8" x14ac:dyDescent="0.3">
      <c r="A532" s="2">
        <v>45173.708333333343</v>
      </c>
      <c r="B532">
        <v>25.338767517623669</v>
      </c>
      <c r="C532">
        <v>50.623718949741388</v>
      </c>
      <c r="D532">
        <v>142.68110387452271</v>
      </c>
      <c r="E532">
        <v>2.7917190252250612</v>
      </c>
      <c r="F532">
        <v>0.34594228694465801</v>
      </c>
      <c r="G532">
        <f t="shared" si="8"/>
        <v>17</v>
      </c>
      <c r="H532" t="str" cm="1">
        <f t="array" ref="H532">_xlfn.IFS(AND(G532&gt;=6,G532&lt;=12),"上",AND(G532&gt;=13,G532&lt;=18),"下",AND(G532&gt;=19,G532&lt;=24),"晚",AND(G532&lt;=5),"晚")</f>
        <v>下</v>
      </c>
    </row>
    <row r="533" spans="1:8" x14ac:dyDescent="0.3">
      <c r="A533" s="2">
        <v>45158.666666666657</v>
      </c>
      <c r="B533">
        <v>28.139319337481361</v>
      </c>
      <c r="C533">
        <v>69.298484176447332</v>
      </c>
      <c r="D533">
        <v>234.2285072260191</v>
      </c>
      <c r="E533">
        <v>4.0193689500989018</v>
      </c>
      <c r="F533">
        <v>0.93498741591846157</v>
      </c>
      <c r="G533">
        <f t="shared" si="8"/>
        <v>16</v>
      </c>
      <c r="H533" t="str" cm="1">
        <f t="array" ref="H533">_xlfn.IFS(AND(G533&gt;=6,G533&lt;=12),"上",AND(G533&gt;=13,G533&lt;=18),"下",AND(G533&gt;=19,G533&lt;=24),"晚",AND(G533&lt;=5),"晚")</f>
        <v>下</v>
      </c>
    </row>
    <row r="534" spans="1:8" x14ac:dyDescent="0.3">
      <c r="A534" s="2">
        <v>44979.416666666657</v>
      </c>
      <c r="B534">
        <v>24.033138168471609</v>
      </c>
      <c r="C534">
        <v>46.458269232432002</v>
      </c>
      <c r="D534">
        <v>101.6108112899984</v>
      </c>
      <c r="E534">
        <v>2.882756842263682</v>
      </c>
      <c r="F534">
        <v>1.447011113173386</v>
      </c>
      <c r="G534">
        <f t="shared" si="8"/>
        <v>10</v>
      </c>
      <c r="H534" t="str" cm="1">
        <f t="array" ref="H534">_xlfn.IFS(AND(G534&gt;=6,G534&lt;=12),"上",AND(G534&gt;=13,G534&lt;=18),"下",AND(G534&gt;=19,G534&lt;=24),"晚",AND(G534&lt;=5),"晚")</f>
        <v>上</v>
      </c>
    </row>
    <row r="535" spans="1:8" x14ac:dyDescent="0.3">
      <c r="A535" s="2">
        <v>44976.291666666657</v>
      </c>
      <c r="B535">
        <v>29.67066246437675</v>
      </c>
      <c r="C535">
        <v>54.622918182170622</v>
      </c>
      <c r="D535">
        <v>424.03177836120011</v>
      </c>
      <c r="E535">
        <v>3.4473593994757579</v>
      </c>
      <c r="F535">
        <v>1.4873063833822719</v>
      </c>
      <c r="G535">
        <f t="shared" si="8"/>
        <v>7</v>
      </c>
      <c r="H535" t="str" cm="1">
        <f t="array" ref="H535">_xlfn.IFS(AND(G535&gt;=6,G535&lt;=12),"上",AND(G535&gt;=13,G535&lt;=18),"下",AND(G535&gt;=19,G535&lt;=24),"晚",AND(G535&lt;=5),"晚")</f>
        <v>上</v>
      </c>
    </row>
    <row r="536" spans="1:8" x14ac:dyDescent="0.3">
      <c r="A536" s="2">
        <v>45222</v>
      </c>
      <c r="B536">
        <v>26.654005697376359</v>
      </c>
      <c r="C536">
        <v>60.466133212801502</v>
      </c>
      <c r="D536">
        <v>829.61902622546904</v>
      </c>
      <c r="E536">
        <v>2.624962368354339</v>
      </c>
      <c r="F536">
        <v>0.236429343311439</v>
      </c>
      <c r="G536">
        <f t="shared" si="8"/>
        <v>0</v>
      </c>
      <c r="H536" t="str" cm="1">
        <f t="array" ref="H536">_xlfn.IFS(AND(G536&gt;=6,G536&lt;=12),"上",AND(G536&gt;=13,G536&lt;=18),"下",AND(G536&gt;=19,G536&lt;=24),"晚",AND(G536&lt;=5),"晚")</f>
        <v>晚</v>
      </c>
    </row>
    <row r="537" spans="1:8" x14ac:dyDescent="0.3">
      <c r="A537" s="2">
        <v>45104.041666666657</v>
      </c>
      <c r="B537">
        <v>23.130556371046929</v>
      </c>
      <c r="C537">
        <v>67.116803568657133</v>
      </c>
      <c r="D537">
        <v>618.20060071231012</v>
      </c>
      <c r="E537">
        <v>4.5500891006390054</v>
      </c>
      <c r="F537">
        <v>1.4526866773686631</v>
      </c>
      <c r="G537">
        <f t="shared" si="8"/>
        <v>1</v>
      </c>
      <c r="H537" t="str" cm="1">
        <f t="array" ref="H537">_xlfn.IFS(AND(G537&gt;=6,G537&lt;=12),"上",AND(G537&gt;=13,G537&lt;=18),"下",AND(G537&gt;=19,G537&lt;=24),"晚",AND(G537&lt;=5),"晚")</f>
        <v>晚</v>
      </c>
    </row>
    <row r="538" spans="1:8" x14ac:dyDescent="0.3">
      <c r="A538" s="2">
        <v>44993.708333333343</v>
      </c>
      <c r="B538">
        <v>25.614340801656709</v>
      </c>
      <c r="C538">
        <v>37.080666043692737</v>
      </c>
      <c r="D538">
        <v>855.91553088251862</v>
      </c>
      <c r="E538">
        <v>3.262262556814409</v>
      </c>
      <c r="F538">
        <v>1.2898340724881501</v>
      </c>
      <c r="G538">
        <f t="shared" si="8"/>
        <v>17</v>
      </c>
      <c r="H538" t="str" cm="1">
        <f t="array" ref="H538">_xlfn.IFS(AND(G538&gt;=6,G538&lt;=12),"上",AND(G538&gt;=13,G538&lt;=18),"下",AND(G538&gt;=19,G538&lt;=24),"晚",AND(G538&lt;=5),"晚")</f>
        <v>下</v>
      </c>
    </row>
    <row r="539" spans="1:8" x14ac:dyDescent="0.3">
      <c r="A539" s="2">
        <v>45103.041666666657</v>
      </c>
      <c r="B539">
        <v>23.750736814717349</v>
      </c>
      <c r="C539">
        <v>66.457040612820947</v>
      </c>
      <c r="D539">
        <v>257.91247066902491</v>
      </c>
      <c r="E539">
        <v>4.6100442103451353</v>
      </c>
      <c r="F539">
        <v>0.76293484959104474</v>
      </c>
      <c r="G539">
        <f t="shared" si="8"/>
        <v>1</v>
      </c>
      <c r="H539" t="str" cm="1">
        <f t="array" ref="H539">_xlfn.IFS(AND(G539&gt;=6,G539&lt;=12),"上",AND(G539&gt;=13,G539&lt;=18),"下",AND(G539&gt;=19,G539&lt;=24),"晚",AND(G539&lt;=5),"晚")</f>
        <v>晚</v>
      </c>
    </row>
    <row r="540" spans="1:8" x14ac:dyDescent="0.3">
      <c r="A540" s="2">
        <v>45133.166666666657</v>
      </c>
      <c r="B540">
        <v>29.119811443888551</v>
      </c>
      <c r="C540">
        <v>55.056969885965259</v>
      </c>
      <c r="D540">
        <v>709.60739770093494</v>
      </c>
      <c r="E540">
        <v>4.5953182784010966</v>
      </c>
      <c r="F540">
        <v>0.67780633843004123</v>
      </c>
      <c r="G540">
        <f t="shared" si="8"/>
        <v>4</v>
      </c>
      <c r="H540" t="str" cm="1">
        <f t="array" ref="H540">_xlfn.IFS(AND(G540&gt;=6,G540&lt;=12),"上",AND(G540&gt;=13,G540&lt;=18),"下",AND(G540&gt;=19,G540&lt;=24),"晚",AND(G540&lt;=5),"晚")</f>
        <v>晚</v>
      </c>
    </row>
    <row r="541" spans="1:8" x14ac:dyDescent="0.3">
      <c r="A541" s="2">
        <v>45119.458333333343</v>
      </c>
      <c r="B541">
        <v>20.483471940013679</v>
      </c>
      <c r="C541">
        <v>62.224276646293248</v>
      </c>
      <c r="D541">
        <v>771.27180750405046</v>
      </c>
      <c r="E541">
        <v>4.0342829251640051</v>
      </c>
      <c r="F541">
        <v>0.15511776442053671</v>
      </c>
      <c r="G541">
        <f t="shared" si="8"/>
        <v>11</v>
      </c>
      <c r="H541" t="str" cm="1">
        <f t="array" ref="H541">_xlfn.IFS(AND(G541&gt;=6,G541&lt;=12),"上",AND(G541&gt;=13,G541&lt;=18),"下",AND(G541&gt;=19,G541&lt;=24),"晚",AND(G541&lt;=5),"晚")</f>
        <v>上</v>
      </c>
    </row>
    <row r="542" spans="1:8" x14ac:dyDescent="0.3">
      <c r="A542" s="2">
        <v>44987.875</v>
      </c>
      <c r="B542">
        <v>22.289155350281519</v>
      </c>
      <c r="C542">
        <v>41.822208897444668</v>
      </c>
      <c r="D542">
        <v>409.60079739151212</v>
      </c>
      <c r="E542">
        <v>3.1922051514031939</v>
      </c>
      <c r="F542">
        <v>0.84478064781381323</v>
      </c>
      <c r="G542">
        <f t="shared" si="8"/>
        <v>21</v>
      </c>
      <c r="H542" t="str" cm="1">
        <f t="array" ref="H542">_xlfn.IFS(AND(G542&gt;=6,G542&lt;=12),"上",AND(G542&gt;=13,G542&lt;=18),"下",AND(G542&gt;=19,G542&lt;=24),"晚",AND(G542&lt;=5),"晚")</f>
        <v>晚</v>
      </c>
    </row>
    <row r="543" spans="1:8" x14ac:dyDescent="0.3">
      <c r="A543" s="2">
        <v>45027.708333333343</v>
      </c>
      <c r="B543">
        <v>20.9656653095096</v>
      </c>
      <c r="C543">
        <v>50.004038385173772</v>
      </c>
      <c r="D543">
        <v>202.86791301545711</v>
      </c>
      <c r="E543">
        <v>3.616878379758194</v>
      </c>
      <c r="F543">
        <v>0.6832907045127703</v>
      </c>
      <c r="G543">
        <f t="shared" si="8"/>
        <v>17</v>
      </c>
      <c r="H543" t="str" cm="1">
        <f t="array" ref="H543">_xlfn.IFS(AND(G543&gt;=6,G543&lt;=12),"上",AND(G543&gt;=13,G543&lt;=18),"下",AND(G543&gt;=19,G543&lt;=24),"晚",AND(G543&lt;=5),"晚")</f>
        <v>下</v>
      </c>
    </row>
    <row r="544" spans="1:8" x14ac:dyDescent="0.3">
      <c r="A544" s="2">
        <v>45243.875</v>
      </c>
      <c r="B544">
        <v>28.05619691948332</v>
      </c>
      <c r="C544">
        <v>38.358367605367917</v>
      </c>
      <c r="D544">
        <v>767.98248096474606</v>
      </c>
      <c r="E544">
        <v>1.8883394260175119</v>
      </c>
      <c r="F544">
        <v>0.91985260521949108</v>
      </c>
      <c r="G544">
        <f t="shared" si="8"/>
        <v>21</v>
      </c>
      <c r="H544" t="str" cm="1">
        <f t="array" ref="H544">_xlfn.IFS(AND(G544&gt;=6,G544&lt;=12),"上",AND(G544&gt;=13,G544&lt;=18),"下",AND(G544&gt;=19,G544&lt;=24),"晚",AND(G544&lt;=5),"晚")</f>
        <v>晚</v>
      </c>
    </row>
    <row r="545" spans="1:8" x14ac:dyDescent="0.3">
      <c r="A545" s="2">
        <v>45278.75</v>
      </c>
      <c r="B545">
        <v>21.91079402449666</v>
      </c>
      <c r="C545">
        <v>64.184165342271825</v>
      </c>
      <c r="D545">
        <v>569.32347338485692</v>
      </c>
      <c r="E545">
        <v>4.6765094311980633</v>
      </c>
      <c r="F545">
        <v>1.4466166712409341</v>
      </c>
      <c r="G545">
        <f t="shared" si="8"/>
        <v>18</v>
      </c>
      <c r="H545" t="str" cm="1">
        <f t="array" ref="H545">_xlfn.IFS(AND(G545&gt;=6,G545&lt;=12),"上",AND(G545&gt;=13,G545&lt;=18),"下",AND(G545&gt;=19,G545&lt;=24),"晚",AND(G545&lt;=5),"晚")</f>
        <v>下</v>
      </c>
    </row>
    <row r="546" spans="1:8" x14ac:dyDescent="0.3">
      <c r="A546" s="2">
        <v>45101.833333333343</v>
      </c>
      <c r="B546">
        <v>27.428473809820801</v>
      </c>
      <c r="C546">
        <v>38.183163700403298</v>
      </c>
      <c r="D546">
        <v>522.75819133343498</v>
      </c>
      <c r="E546">
        <v>4.4389436848135766</v>
      </c>
      <c r="F546">
        <v>0.37641562511423982</v>
      </c>
      <c r="G546">
        <f t="shared" si="8"/>
        <v>20</v>
      </c>
      <c r="H546" t="str" cm="1">
        <f t="array" ref="H546">_xlfn.IFS(AND(G546&gt;=6,G546&lt;=12),"上",AND(G546&gt;=13,G546&lt;=18),"下",AND(G546&gt;=19,G546&lt;=24),"晚",AND(G546&lt;=5),"晚")</f>
        <v>晚</v>
      </c>
    </row>
    <row r="547" spans="1:8" x14ac:dyDescent="0.3">
      <c r="A547" s="2">
        <v>45198.916666666657</v>
      </c>
      <c r="B547">
        <v>25.615964941163512</v>
      </c>
      <c r="C547">
        <v>51.933071143093457</v>
      </c>
      <c r="D547">
        <v>853.39903572894877</v>
      </c>
      <c r="E547">
        <v>4.1485731481715931</v>
      </c>
      <c r="F547">
        <v>1.011928620517845</v>
      </c>
      <c r="G547">
        <f t="shared" si="8"/>
        <v>22</v>
      </c>
      <c r="H547" t="str" cm="1">
        <f t="array" ref="H547">_xlfn.IFS(AND(G547&gt;=6,G547&lt;=12),"上",AND(G547&gt;=13,G547&lt;=18),"下",AND(G547&gt;=19,G547&lt;=24),"晚",AND(G547&lt;=5),"晚")</f>
        <v>晚</v>
      </c>
    </row>
    <row r="548" spans="1:8" x14ac:dyDescent="0.3">
      <c r="A548" s="2">
        <v>45014.25</v>
      </c>
      <c r="B548">
        <v>28.302159852368931</v>
      </c>
      <c r="C548">
        <v>46.71652853489519</v>
      </c>
      <c r="D548">
        <v>543.61551456728125</v>
      </c>
      <c r="E548">
        <v>1.101924091679237</v>
      </c>
      <c r="F548">
        <v>1.606421247738157</v>
      </c>
      <c r="G548">
        <f t="shared" si="8"/>
        <v>6</v>
      </c>
      <c r="H548" t="str" cm="1">
        <f t="array" ref="H548">_xlfn.IFS(AND(G548&gt;=6,G548&lt;=12),"上",AND(G548&gt;=13,G548&lt;=18),"下",AND(G548&gt;=19,G548&lt;=24),"晚",AND(G548&lt;=5),"晚")</f>
        <v>上</v>
      </c>
    </row>
    <row r="549" spans="1:8" x14ac:dyDescent="0.3">
      <c r="A549" s="2">
        <v>45282.916666666657</v>
      </c>
      <c r="B549">
        <v>29.949487926912141</v>
      </c>
      <c r="C549">
        <v>31.983580528220859</v>
      </c>
      <c r="D549">
        <v>365.47791344575228</v>
      </c>
      <c r="E549">
        <v>1.778108606326009</v>
      </c>
      <c r="F549">
        <v>0.57240572237842047</v>
      </c>
      <c r="G549">
        <f t="shared" si="8"/>
        <v>22</v>
      </c>
      <c r="H549" t="str" cm="1">
        <f t="array" ref="H549">_xlfn.IFS(AND(G549&gt;=6,G549&lt;=12),"上",AND(G549&gt;=13,G549&lt;=18),"下",AND(G549&gt;=19,G549&lt;=24),"晚",AND(G549&lt;=5),"晚")</f>
        <v>晚</v>
      </c>
    </row>
    <row r="550" spans="1:8" x14ac:dyDescent="0.3">
      <c r="A550" s="2">
        <v>45051.875</v>
      </c>
      <c r="B550">
        <v>21.542367865564021</v>
      </c>
      <c r="C550">
        <v>46.485905968916299</v>
      </c>
      <c r="D550">
        <v>773.588555237935</v>
      </c>
      <c r="E550">
        <v>4.6667896596501857</v>
      </c>
      <c r="F550">
        <v>1.7410003325089931</v>
      </c>
      <c r="G550">
        <f t="shared" si="8"/>
        <v>21</v>
      </c>
      <c r="H550" t="str" cm="1">
        <f t="array" ref="H550">_xlfn.IFS(AND(G550&gt;=6,G550&lt;=12),"上",AND(G550&gt;=13,G550&lt;=18),"下",AND(G550&gt;=19,G550&lt;=24),"晚",AND(G550&lt;=5),"晚")</f>
        <v>晚</v>
      </c>
    </row>
    <row r="551" spans="1:8" x14ac:dyDescent="0.3">
      <c r="A551" s="2">
        <v>45136</v>
      </c>
      <c r="B551">
        <v>21.504173314682891</v>
      </c>
      <c r="C551">
        <v>61.375896773042392</v>
      </c>
      <c r="D551">
        <v>342.86246885442341</v>
      </c>
      <c r="E551">
        <v>4.2362157133277769</v>
      </c>
      <c r="F551">
        <v>1.8726229815812521</v>
      </c>
      <c r="G551">
        <f t="shared" si="8"/>
        <v>0</v>
      </c>
      <c r="H551" t="str" cm="1">
        <f t="array" ref="H551">_xlfn.IFS(AND(G551&gt;=6,G551&lt;=12),"上",AND(G551&gt;=13,G551&lt;=18),"下",AND(G551&gt;=19,G551&lt;=24),"晚",AND(G551&lt;=5),"晚")</f>
        <v>晚</v>
      </c>
    </row>
    <row r="552" spans="1:8" x14ac:dyDescent="0.3">
      <c r="A552" s="2">
        <v>45156.458333333343</v>
      </c>
      <c r="B552">
        <v>26.362155333877389</v>
      </c>
      <c r="C552">
        <v>51.157300840097761</v>
      </c>
      <c r="D552">
        <v>348.65693933658292</v>
      </c>
      <c r="E552">
        <v>4.3846384896406292</v>
      </c>
      <c r="F552">
        <v>0.31439525725868062</v>
      </c>
      <c r="G552">
        <f t="shared" si="8"/>
        <v>11</v>
      </c>
      <c r="H552" t="str" cm="1">
        <f t="array" ref="H552">_xlfn.IFS(AND(G552&gt;=6,G552&lt;=12),"上",AND(G552&gt;=13,G552&lt;=18),"下",AND(G552&gt;=19,G552&lt;=24),"晚",AND(G552&lt;=5),"晚")</f>
        <v>上</v>
      </c>
    </row>
    <row r="553" spans="1:8" x14ac:dyDescent="0.3">
      <c r="A553" s="2">
        <v>45174.791666666657</v>
      </c>
      <c r="B553">
        <v>20.36304373004462</v>
      </c>
      <c r="C553">
        <v>42.191875626353649</v>
      </c>
      <c r="D553">
        <v>287.86131051547932</v>
      </c>
      <c r="E553">
        <v>2.6182780021370231</v>
      </c>
      <c r="F553">
        <v>0.31983093940589169</v>
      </c>
      <c r="G553">
        <f t="shared" si="8"/>
        <v>19</v>
      </c>
      <c r="H553" t="str" cm="1">
        <f t="array" ref="H553">_xlfn.IFS(AND(G553&gt;=6,G553&lt;=12),"上",AND(G553&gt;=13,G553&lt;=18),"下",AND(G553&gt;=19,G553&lt;=24),"晚",AND(G553&lt;=5),"晚")</f>
        <v>晚</v>
      </c>
    </row>
    <row r="554" spans="1:8" x14ac:dyDescent="0.3">
      <c r="A554" s="2">
        <v>44995.541666666657</v>
      </c>
      <c r="B554">
        <v>28.17417950198837</v>
      </c>
      <c r="C554">
        <v>47.816532617241762</v>
      </c>
      <c r="D554">
        <v>193.04859146316821</v>
      </c>
      <c r="E554">
        <v>2.0254989215409309</v>
      </c>
      <c r="F554">
        <v>1.3258837929291709</v>
      </c>
      <c r="G554">
        <f t="shared" si="8"/>
        <v>13</v>
      </c>
      <c r="H554" t="str" cm="1">
        <f t="array" ref="H554">_xlfn.IFS(AND(G554&gt;=6,G554&lt;=12),"上",AND(G554&gt;=13,G554&lt;=18),"下",AND(G554&gt;=19,G554&lt;=24),"晚",AND(G554&lt;=5),"晚")</f>
        <v>下</v>
      </c>
    </row>
    <row r="555" spans="1:8" x14ac:dyDescent="0.3">
      <c r="A555" s="2">
        <v>45019.458333333343</v>
      </c>
      <c r="B555">
        <v>23.766392918496241</v>
      </c>
      <c r="C555">
        <v>60.970623990932538</v>
      </c>
      <c r="D555">
        <v>821.41803646157234</v>
      </c>
      <c r="E555">
        <v>4.5627912655025256</v>
      </c>
      <c r="F555">
        <v>1.082660978471405</v>
      </c>
      <c r="G555">
        <f t="shared" si="8"/>
        <v>11</v>
      </c>
      <c r="H555" t="str" cm="1">
        <f t="array" ref="H555">_xlfn.IFS(AND(G555&gt;=6,G555&lt;=12),"上",AND(G555&gt;=13,G555&lt;=18),"下",AND(G555&gt;=19,G555&lt;=24),"晚",AND(G555&lt;=5),"晚")</f>
        <v>上</v>
      </c>
    </row>
    <row r="556" spans="1:8" x14ac:dyDescent="0.3">
      <c r="A556" s="2">
        <v>45108.916666666657</v>
      </c>
      <c r="B556">
        <v>23.989347229262201</v>
      </c>
      <c r="C556">
        <v>56.726150391359333</v>
      </c>
      <c r="D556">
        <v>730.6164407850406</v>
      </c>
      <c r="E556">
        <v>2.4918212950141529</v>
      </c>
      <c r="F556">
        <v>1.816797390657436</v>
      </c>
      <c r="G556">
        <f t="shared" si="8"/>
        <v>22</v>
      </c>
      <c r="H556" t="str" cm="1">
        <f t="array" ref="H556">_xlfn.IFS(AND(G556&gt;=6,G556&lt;=12),"上",AND(G556&gt;=13,G556&lt;=18),"下",AND(G556&gt;=19,G556&lt;=24),"晚",AND(G556&lt;=5),"晚")</f>
        <v>晚</v>
      </c>
    </row>
    <row r="557" spans="1:8" x14ac:dyDescent="0.3">
      <c r="A557" s="2">
        <v>45015.916666666657</v>
      </c>
      <c r="B557">
        <v>25.72045812832468</v>
      </c>
      <c r="C557">
        <v>34.43612964896645</v>
      </c>
      <c r="D557">
        <v>444.89186685860471</v>
      </c>
      <c r="E557">
        <v>2.1954823124356722</v>
      </c>
      <c r="F557">
        <v>1.6237086199895669</v>
      </c>
      <c r="G557">
        <f t="shared" si="8"/>
        <v>22</v>
      </c>
      <c r="H557" t="str" cm="1">
        <f t="array" ref="H557">_xlfn.IFS(AND(G557&gt;=6,G557&lt;=12),"上",AND(G557&gt;=13,G557&lt;=18),"下",AND(G557&gt;=19,G557&lt;=24),"晚",AND(G557&lt;=5),"晚")</f>
        <v>晚</v>
      </c>
    </row>
    <row r="558" spans="1:8" x14ac:dyDescent="0.3">
      <c r="A558" s="2">
        <v>45100.666666666657</v>
      </c>
      <c r="B558">
        <v>23.420953907670761</v>
      </c>
      <c r="C558">
        <v>51.24986312777061</v>
      </c>
      <c r="D558">
        <v>752.48602196021488</v>
      </c>
      <c r="E558">
        <v>2.2034492526998348</v>
      </c>
      <c r="F558">
        <v>1.053595867466057</v>
      </c>
      <c r="G558">
        <f t="shared" si="8"/>
        <v>16</v>
      </c>
      <c r="H558" t="str" cm="1">
        <f t="array" ref="H558">_xlfn.IFS(AND(G558&gt;=6,G558&lt;=12),"上",AND(G558&gt;=13,G558&lt;=18),"下",AND(G558&gt;=19,G558&lt;=24),"晚",AND(G558&lt;=5),"晚")</f>
        <v>下</v>
      </c>
    </row>
    <row r="559" spans="1:8" x14ac:dyDescent="0.3">
      <c r="A559" s="2">
        <v>45042.833333333343</v>
      </c>
      <c r="B559">
        <v>23.002352399179721</v>
      </c>
      <c r="C559">
        <v>37.94780955970468</v>
      </c>
      <c r="D559">
        <v>965.12119912335527</v>
      </c>
      <c r="E559">
        <v>4.5297295539559386</v>
      </c>
      <c r="F559">
        <v>0.2305119668649637</v>
      </c>
      <c r="G559">
        <f t="shared" si="8"/>
        <v>20</v>
      </c>
      <c r="H559" t="str" cm="1">
        <f t="array" ref="H559">_xlfn.IFS(AND(G559&gt;=6,G559&lt;=12),"上",AND(G559&gt;=13,G559&lt;=18),"下",AND(G559&gt;=19,G559&lt;=24),"晚",AND(G559&lt;=5),"晚")</f>
        <v>晚</v>
      </c>
    </row>
    <row r="560" spans="1:8" x14ac:dyDescent="0.3">
      <c r="A560" s="2">
        <v>45140.708333333343</v>
      </c>
      <c r="B560">
        <v>22.04969218845774</v>
      </c>
      <c r="C560">
        <v>69.136292364512229</v>
      </c>
      <c r="D560">
        <v>519.62373552727013</v>
      </c>
      <c r="E560">
        <v>1.707720214537483</v>
      </c>
      <c r="F560">
        <v>0.28785390895932089</v>
      </c>
      <c r="G560">
        <f t="shared" si="8"/>
        <v>17</v>
      </c>
      <c r="H560" t="str" cm="1">
        <f t="array" ref="H560">_xlfn.IFS(AND(G560&gt;=6,G560&lt;=12),"上",AND(G560&gt;=13,G560&lt;=18),"下",AND(G560&gt;=19,G560&lt;=24),"晚",AND(G560&lt;=5),"晚")</f>
        <v>下</v>
      </c>
    </row>
    <row r="561" spans="1:8" x14ac:dyDescent="0.3">
      <c r="A561" s="2">
        <v>45047.791666666657</v>
      </c>
      <c r="B561">
        <v>27.18821470310235</v>
      </c>
      <c r="C561">
        <v>59.545014920993722</v>
      </c>
      <c r="D561">
        <v>539.45682088510296</v>
      </c>
      <c r="E561">
        <v>4.3318293581388936</v>
      </c>
      <c r="F561">
        <v>0.95213292060214294</v>
      </c>
      <c r="G561">
        <f t="shared" si="8"/>
        <v>19</v>
      </c>
      <c r="H561" t="str" cm="1">
        <f t="array" ref="H561">_xlfn.IFS(AND(G561&gt;=6,G561&lt;=12),"上",AND(G561&gt;=13,G561&lt;=18),"下",AND(G561&gt;=19,G561&lt;=24),"晚",AND(G561&lt;=5),"晚")</f>
        <v>晚</v>
      </c>
    </row>
    <row r="562" spans="1:8" x14ac:dyDescent="0.3">
      <c r="A562" s="2">
        <v>45040.291666666657</v>
      </c>
      <c r="B562">
        <v>27.686125608379459</v>
      </c>
      <c r="C562">
        <v>33.24003179863017</v>
      </c>
      <c r="D562">
        <v>576.15467906164122</v>
      </c>
      <c r="E562">
        <v>2.910270931411858</v>
      </c>
      <c r="F562">
        <v>0.67868607608737286</v>
      </c>
      <c r="G562">
        <f t="shared" si="8"/>
        <v>7</v>
      </c>
      <c r="H562" t="str" cm="1">
        <f t="array" ref="H562">_xlfn.IFS(AND(G562&gt;=6,G562&lt;=12),"上",AND(G562&gt;=13,G562&lt;=18),"下",AND(G562&gt;=19,G562&lt;=24),"晚",AND(G562&lt;=5),"晚")</f>
        <v>上</v>
      </c>
    </row>
    <row r="563" spans="1:8" x14ac:dyDescent="0.3">
      <c r="A563" s="2">
        <v>45110.166666666657</v>
      </c>
      <c r="B563">
        <v>26.08102664053715</v>
      </c>
      <c r="C563">
        <v>39.929170367440399</v>
      </c>
      <c r="D563">
        <v>339.90416241004999</v>
      </c>
      <c r="E563">
        <v>2.0445749739111738</v>
      </c>
      <c r="F563">
        <v>1.891945916189447</v>
      </c>
      <c r="G563">
        <f t="shared" si="8"/>
        <v>4</v>
      </c>
      <c r="H563" t="str" cm="1">
        <f t="array" ref="H563">_xlfn.IFS(AND(G563&gt;=6,G563&lt;=12),"上",AND(G563&gt;=13,G563&lt;=18),"下",AND(G563&gt;=19,G563&lt;=24),"晚",AND(G563&lt;=5),"晚")</f>
        <v>晚</v>
      </c>
    </row>
    <row r="564" spans="1:8" x14ac:dyDescent="0.3">
      <c r="A564" s="2">
        <v>45086.666666666657</v>
      </c>
      <c r="B564">
        <v>22.3603380137248</v>
      </c>
      <c r="C564">
        <v>33.125027024489839</v>
      </c>
      <c r="D564">
        <v>323.20365386523179</v>
      </c>
      <c r="E564">
        <v>3.3369249486364332</v>
      </c>
      <c r="F564">
        <v>1.365107062315958</v>
      </c>
      <c r="G564">
        <f t="shared" si="8"/>
        <v>16</v>
      </c>
      <c r="H564" t="str" cm="1">
        <f t="array" ref="H564">_xlfn.IFS(AND(G564&gt;=6,G564&lt;=12),"上",AND(G564&gt;=13,G564&lt;=18),"下",AND(G564&gt;=19,G564&lt;=24),"晚",AND(G564&lt;=5),"晚")</f>
        <v>下</v>
      </c>
    </row>
    <row r="565" spans="1:8" x14ac:dyDescent="0.3">
      <c r="A565" s="2">
        <v>45240.041666666657</v>
      </c>
      <c r="B565">
        <v>26.94758943235038</v>
      </c>
      <c r="C565">
        <v>44.803854306351312</v>
      </c>
      <c r="D565">
        <v>539.5462500248434</v>
      </c>
      <c r="E565">
        <v>2.1159659442282082</v>
      </c>
      <c r="F565">
        <v>0.61400810048837817</v>
      </c>
      <c r="G565">
        <f t="shared" si="8"/>
        <v>1</v>
      </c>
      <c r="H565" t="str" cm="1">
        <f t="array" ref="H565">_xlfn.IFS(AND(G565&gt;=6,G565&lt;=12),"上",AND(G565&gt;=13,G565&lt;=18),"下",AND(G565&gt;=19,G565&lt;=24),"晚",AND(G565&lt;=5),"晚")</f>
        <v>晚</v>
      </c>
    </row>
    <row r="566" spans="1:8" x14ac:dyDescent="0.3">
      <c r="A566" s="2">
        <v>45097.833333333343</v>
      </c>
      <c r="B566">
        <v>21.57858906144606</v>
      </c>
      <c r="C566">
        <v>62.90738217957572</v>
      </c>
      <c r="D566">
        <v>550.65741492431789</v>
      </c>
      <c r="E566">
        <v>3.05955471324426</v>
      </c>
      <c r="F566">
        <v>0.77822138245512551</v>
      </c>
      <c r="G566">
        <f t="shared" si="8"/>
        <v>20</v>
      </c>
      <c r="H566" t="str" cm="1">
        <f t="array" ref="H566">_xlfn.IFS(AND(G566&gt;=6,G566&lt;=12),"上",AND(G566&gt;=13,G566&lt;=18),"下",AND(G566&gt;=19,G566&lt;=24),"晚",AND(G566&lt;=5),"晚")</f>
        <v>晚</v>
      </c>
    </row>
    <row r="567" spans="1:8" x14ac:dyDescent="0.3">
      <c r="A567" s="2">
        <v>45019.666666666657</v>
      </c>
      <c r="B567">
        <v>28.782824617193899</v>
      </c>
      <c r="C567">
        <v>32.67022193377683</v>
      </c>
      <c r="D567">
        <v>360.35377614565192</v>
      </c>
      <c r="E567">
        <v>3.4547032886746449</v>
      </c>
      <c r="F567">
        <v>0.25348716783426423</v>
      </c>
      <c r="G567">
        <f t="shared" si="8"/>
        <v>16</v>
      </c>
      <c r="H567" t="str" cm="1">
        <f t="array" ref="H567">_xlfn.IFS(AND(G567&gt;=6,G567&lt;=12),"上",AND(G567&gt;=13,G567&lt;=18),"下",AND(G567&gt;=19,G567&lt;=24),"晚",AND(G567&lt;=5),"晚")</f>
        <v>下</v>
      </c>
    </row>
    <row r="568" spans="1:8" x14ac:dyDescent="0.3">
      <c r="A568" s="2">
        <v>45190</v>
      </c>
      <c r="B568">
        <v>24.463260584432419</v>
      </c>
      <c r="C568">
        <v>36.614287975568118</v>
      </c>
      <c r="D568">
        <v>624.08164013584292</v>
      </c>
      <c r="E568">
        <v>3.332095303062645</v>
      </c>
      <c r="F568">
        <v>0.57440728454286794</v>
      </c>
      <c r="G568">
        <f t="shared" si="8"/>
        <v>0</v>
      </c>
      <c r="H568" t="str" cm="1">
        <f t="array" ref="H568">_xlfn.IFS(AND(G568&gt;=6,G568&lt;=12),"上",AND(G568&gt;=13,G568&lt;=18),"下",AND(G568&gt;=19,G568&lt;=24),"晚",AND(G568&lt;=5),"晚")</f>
        <v>晚</v>
      </c>
    </row>
    <row r="569" spans="1:8" x14ac:dyDescent="0.3">
      <c r="A569" s="2">
        <v>45009.916666666657</v>
      </c>
      <c r="B569">
        <v>24.758612739283279</v>
      </c>
      <c r="C569">
        <v>40.69780974729008</v>
      </c>
      <c r="D569">
        <v>793.71221936784752</v>
      </c>
      <c r="E569">
        <v>4.2649490765193594</v>
      </c>
      <c r="F569">
        <v>0.70566566077985382</v>
      </c>
      <c r="G569">
        <f t="shared" si="8"/>
        <v>22</v>
      </c>
      <c r="H569" t="str" cm="1">
        <f t="array" ref="H569">_xlfn.IFS(AND(G569&gt;=6,G569&lt;=12),"上",AND(G569&gt;=13,G569&lt;=18),"下",AND(G569&gt;=19,G569&lt;=24),"晚",AND(G569&lt;=5),"晚")</f>
        <v>晚</v>
      </c>
    </row>
    <row r="570" spans="1:8" x14ac:dyDescent="0.3">
      <c r="A570" s="2">
        <v>45146.25</v>
      </c>
      <c r="B570">
        <v>22.041481904500529</v>
      </c>
      <c r="C570">
        <v>54.963212065652009</v>
      </c>
      <c r="D570">
        <v>720.62077255588565</v>
      </c>
      <c r="E570">
        <v>3.4750672083382499</v>
      </c>
      <c r="F570">
        <v>1.319701854637005</v>
      </c>
      <c r="G570">
        <f t="shared" si="8"/>
        <v>6</v>
      </c>
      <c r="H570" t="str" cm="1">
        <f t="array" ref="H570">_xlfn.IFS(AND(G570&gt;=6,G570&lt;=12),"上",AND(G570&gt;=13,G570&lt;=18),"下",AND(G570&gt;=19,G570&lt;=24),"晚",AND(G570&lt;=5),"晚")</f>
        <v>上</v>
      </c>
    </row>
    <row r="571" spans="1:8" x14ac:dyDescent="0.3">
      <c r="A571" s="2">
        <v>45099.25</v>
      </c>
      <c r="B571">
        <v>26.155111211329039</v>
      </c>
      <c r="C571">
        <v>68.987337914335669</v>
      </c>
      <c r="D571">
        <v>232.39762431103429</v>
      </c>
      <c r="E571">
        <v>1.882558010473826</v>
      </c>
      <c r="F571">
        <v>0.42785209590943718</v>
      </c>
      <c r="G571">
        <f t="shared" si="8"/>
        <v>6</v>
      </c>
      <c r="H571" t="str" cm="1">
        <f t="array" ref="H571">_xlfn.IFS(AND(G571&gt;=6,G571&lt;=12),"上",AND(G571&gt;=13,G571&lt;=18),"下",AND(G571&gt;=19,G571&lt;=24),"晚",AND(G571&lt;=5),"晚")</f>
        <v>上</v>
      </c>
    </row>
    <row r="572" spans="1:8" x14ac:dyDescent="0.3">
      <c r="A572" s="2">
        <v>45099.333333333343</v>
      </c>
      <c r="B572">
        <v>29.850488848424479</v>
      </c>
      <c r="C572">
        <v>62.909282626822183</v>
      </c>
      <c r="D572">
        <v>678.15259295422788</v>
      </c>
      <c r="E572">
        <v>2.1795725270691588</v>
      </c>
      <c r="F572">
        <v>1.386649028909656</v>
      </c>
      <c r="G572">
        <f t="shared" si="8"/>
        <v>8</v>
      </c>
      <c r="H572" t="str" cm="1">
        <f t="array" ref="H572">_xlfn.IFS(AND(G572&gt;=6,G572&lt;=12),"上",AND(G572&gt;=13,G572&lt;=18),"下",AND(G572&gt;=19,G572&lt;=24),"晚",AND(G572&lt;=5),"晚")</f>
        <v>上</v>
      </c>
    </row>
    <row r="573" spans="1:8" x14ac:dyDescent="0.3">
      <c r="A573" s="2">
        <v>44996.833333333343</v>
      </c>
      <c r="B573">
        <v>25.891004850421041</v>
      </c>
      <c r="C573">
        <v>38.037060676241552</v>
      </c>
      <c r="D573">
        <v>103.0764605412776</v>
      </c>
      <c r="E573">
        <v>2.6087109273309932</v>
      </c>
      <c r="F573">
        <v>0.32353377596105748</v>
      </c>
      <c r="G573">
        <f t="shared" si="8"/>
        <v>20</v>
      </c>
      <c r="H573" t="str" cm="1">
        <f t="array" ref="H573">_xlfn.IFS(AND(G573&gt;=6,G573&lt;=12),"上",AND(G573&gt;=13,G573&lt;=18),"下",AND(G573&gt;=19,G573&lt;=24),"晚",AND(G573&lt;=5),"晚")</f>
        <v>晚</v>
      </c>
    </row>
    <row r="574" spans="1:8" x14ac:dyDescent="0.3">
      <c r="A574" s="2">
        <v>45125.583333333343</v>
      </c>
      <c r="B574">
        <v>26.523451545540389</v>
      </c>
      <c r="C574">
        <v>58.402512266989547</v>
      </c>
      <c r="D574">
        <v>453.42709018669592</v>
      </c>
      <c r="E574">
        <v>4.0779493458647389</v>
      </c>
      <c r="F574">
        <v>1.7988396103211359</v>
      </c>
      <c r="G574">
        <f t="shared" si="8"/>
        <v>14</v>
      </c>
      <c r="H574" t="str" cm="1">
        <f t="array" ref="H574">_xlfn.IFS(AND(G574&gt;=6,G574&lt;=12),"上",AND(G574&gt;=13,G574&lt;=18),"下",AND(G574&gt;=19,G574&lt;=24),"晚",AND(G574&lt;=5),"晚")</f>
        <v>下</v>
      </c>
    </row>
    <row r="575" spans="1:8" x14ac:dyDescent="0.3">
      <c r="A575" s="2">
        <v>45251.125</v>
      </c>
      <c r="B575">
        <v>22.884891659355461</v>
      </c>
      <c r="C575">
        <v>52.25551008952182</v>
      </c>
      <c r="D575">
        <v>514.92506423772647</v>
      </c>
      <c r="E575">
        <v>4.6167297771602964</v>
      </c>
      <c r="F575">
        <v>1.2902294592907071</v>
      </c>
      <c r="G575">
        <f t="shared" si="8"/>
        <v>3</v>
      </c>
      <c r="H575" t="str" cm="1">
        <f t="array" ref="H575">_xlfn.IFS(AND(G575&gt;=6,G575&lt;=12),"上",AND(G575&gt;=13,G575&lt;=18),"下",AND(G575&gt;=19,G575&lt;=24),"晚",AND(G575&lt;=5),"晚")</f>
        <v>晚</v>
      </c>
    </row>
    <row r="576" spans="1:8" x14ac:dyDescent="0.3">
      <c r="A576" s="2">
        <v>45238.791666666657</v>
      </c>
      <c r="B576">
        <v>23.258514080423321</v>
      </c>
      <c r="C576">
        <v>49.665114607893493</v>
      </c>
      <c r="D576">
        <v>816.00110822978979</v>
      </c>
      <c r="E576">
        <v>1.0981294219969631</v>
      </c>
      <c r="F576">
        <v>1.197197978169469</v>
      </c>
      <c r="G576">
        <f t="shared" si="8"/>
        <v>19</v>
      </c>
      <c r="H576" t="str" cm="1">
        <f t="array" ref="H576">_xlfn.IFS(AND(G576&gt;=6,G576&lt;=12),"上",AND(G576&gt;=13,G576&lt;=18),"下",AND(G576&gt;=19,G576&lt;=24),"晚",AND(G576&lt;=5),"晚")</f>
        <v>晚</v>
      </c>
    </row>
    <row r="577" spans="1:8" x14ac:dyDescent="0.3">
      <c r="A577" s="2">
        <v>45088.791666666657</v>
      </c>
      <c r="B577">
        <v>21.963555900705341</v>
      </c>
      <c r="C577">
        <v>66.335432280173222</v>
      </c>
      <c r="D577">
        <v>892.08450368375088</v>
      </c>
      <c r="E577">
        <v>4.973672592447941</v>
      </c>
      <c r="F577">
        <v>0.45581621056243082</v>
      </c>
      <c r="G577">
        <f t="shared" si="8"/>
        <v>19</v>
      </c>
      <c r="H577" t="str" cm="1">
        <f t="array" ref="H577">_xlfn.IFS(AND(G577&gt;=6,G577&lt;=12),"上",AND(G577&gt;=13,G577&lt;=18),"下",AND(G577&gt;=19,G577&lt;=24),"晚",AND(G577&lt;=5),"晚")</f>
        <v>晚</v>
      </c>
    </row>
    <row r="578" spans="1:8" x14ac:dyDescent="0.3">
      <c r="A578" s="2">
        <v>44994.833333333343</v>
      </c>
      <c r="B578">
        <v>25.146016719675242</v>
      </c>
      <c r="C578">
        <v>53.525190237967763</v>
      </c>
      <c r="D578">
        <v>746.37795126520462</v>
      </c>
      <c r="E578">
        <v>2.9658480962814449</v>
      </c>
      <c r="F578">
        <v>1.507654236318291</v>
      </c>
      <c r="G578">
        <f t="shared" si="8"/>
        <v>20</v>
      </c>
      <c r="H578" t="str" cm="1">
        <f t="array" ref="H578">_xlfn.IFS(AND(G578&gt;=6,G578&lt;=12),"上",AND(G578&gt;=13,G578&lt;=18),"下",AND(G578&gt;=19,G578&lt;=24),"晚",AND(G578&lt;=5),"晚")</f>
        <v>晚</v>
      </c>
    </row>
    <row r="579" spans="1:8" x14ac:dyDescent="0.3">
      <c r="A579" s="2">
        <v>45271</v>
      </c>
      <c r="B579">
        <v>21.479745766615991</v>
      </c>
      <c r="C579">
        <v>35.488386991718762</v>
      </c>
      <c r="D579">
        <v>797.7270249365921</v>
      </c>
      <c r="E579">
        <v>1.526976072228188</v>
      </c>
      <c r="F579">
        <v>0.54849910757499709</v>
      </c>
      <c r="G579">
        <f t="shared" ref="G579:G642" si="9">HOUR(A579)</f>
        <v>0</v>
      </c>
      <c r="H579" t="str" cm="1">
        <f t="array" ref="H579">_xlfn.IFS(AND(G579&gt;=6,G579&lt;=12),"上",AND(G579&gt;=13,G579&lt;=18),"下",AND(G579&gt;=19,G579&lt;=24),"晚",AND(G579&lt;=5),"晚")</f>
        <v>晚</v>
      </c>
    </row>
    <row r="580" spans="1:8" x14ac:dyDescent="0.3">
      <c r="A580" s="2">
        <v>45201.333333333343</v>
      </c>
      <c r="B580">
        <v>26.184812762273161</v>
      </c>
      <c r="C580">
        <v>36.598711622259131</v>
      </c>
      <c r="D580">
        <v>938.45241316567945</v>
      </c>
      <c r="E580">
        <v>3.2617667554787348</v>
      </c>
      <c r="F580">
        <v>1.6162821198619921</v>
      </c>
      <c r="G580">
        <f t="shared" si="9"/>
        <v>8</v>
      </c>
      <c r="H580" t="str" cm="1">
        <f t="array" ref="H580">_xlfn.IFS(AND(G580&gt;=6,G580&lt;=12),"上",AND(G580&gt;=13,G580&lt;=18),"下",AND(G580&gt;=19,G580&lt;=24),"晚",AND(G580&lt;=5),"晚")</f>
        <v>上</v>
      </c>
    </row>
    <row r="581" spans="1:8" x14ac:dyDescent="0.3">
      <c r="A581" s="2">
        <v>45275.291666666657</v>
      </c>
      <c r="B581">
        <v>24.653102242138289</v>
      </c>
      <c r="C581">
        <v>66.878936555420921</v>
      </c>
      <c r="D581">
        <v>536.09243315558024</v>
      </c>
      <c r="E581">
        <v>2.8341333890421261</v>
      </c>
      <c r="F581">
        <v>1.5800137156009491</v>
      </c>
      <c r="G581">
        <f t="shared" si="9"/>
        <v>7</v>
      </c>
      <c r="H581" t="str" cm="1">
        <f t="array" ref="H581">_xlfn.IFS(AND(G581&gt;=6,G581&lt;=12),"上",AND(G581&gt;=13,G581&lt;=18),"下",AND(G581&gt;=19,G581&lt;=24),"晚",AND(G581&lt;=5),"晚")</f>
        <v>上</v>
      </c>
    </row>
    <row r="582" spans="1:8" x14ac:dyDescent="0.3">
      <c r="A582" s="2">
        <v>45225.708333333343</v>
      </c>
      <c r="B582">
        <v>26.24311893031215</v>
      </c>
      <c r="C582">
        <v>33.208207832646437</v>
      </c>
      <c r="D582">
        <v>351.74819363610669</v>
      </c>
      <c r="E582">
        <v>1.197286174225098</v>
      </c>
      <c r="F582">
        <v>1.884851930345016</v>
      </c>
      <c r="G582">
        <f t="shared" si="9"/>
        <v>17</v>
      </c>
      <c r="H582" t="str" cm="1">
        <f t="array" ref="H582">_xlfn.IFS(AND(G582&gt;=6,G582&lt;=12),"上",AND(G582&gt;=13,G582&lt;=18),"下",AND(G582&gt;=19,G582&lt;=24),"晚",AND(G582&lt;=5),"晚")</f>
        <v>下</v>
      </c>
    </row>
    <row r="583" spans="1:8" x14ac:dyDescent="0.3">
      <c r="A583" s="2">
        <v>45081.791666666657</v>
      </c>
      <c r="B583">
        <v>20.707208496132608</v>
      </c>
      <c r="C583">
        <v>35.516564416695189</v>
      </c>
      <c r="D583">
        <v>433.12679697394651</v>
      </c>
      <c r="E583">
        <v>3.3104971681152588</v>
      </c>
      <c r="F583">
        <v>1.587117139911133</v>
      </c>
      <c r="G583">
        <f t="shared" si="9"/>
        <v>19</v>
      </c>
      <c r="H583" t="str" cm="1">
        <f t="array" ref="H583">_xlfn.IFS(AND(G583&gt;=6,G583&lt;=12),"上",AND(G583&gt;=13,G583&lt;=18),"下",AND(G583&gt;=19,G583&lt;=24),"晚",AND(G583&lt;=5),"晚")</f>
        <v>晚</v>
      </c>
    </row>
    <row r="584" spans="1:8" x14ac:dyDescent="0.3">
      <c r="A584" s="2">
        <v>45003.916666666657</v>
      </c>
      <c r="B584">
        <v>28.840570721199239</v>
      </c>
      <c r="C584">
        <v>56.124547352401088</v>
      </c>
      <c r="D584">
        <v>485.76145788736108</v>
      </c>
      <c r="E584">
        <v>4.7262846522816897</v>
      </c>
      <c r="F584">
        <v>0.79339585214646824</v>
      </c>
      <c r="G584">
        <f t="shared" si="9"/>
        <v>22</v>
      </c>
      <c r="H584" t="str" cm="1">
        <f t="array" ref="H584">_xlfn.IFS(AND(G584&gt;=6,G584&lt;=12),"上",AND(G584&gt;=13,G584&lt;=18),"下",AND(G584&gt;=19,G584&lt;=24),"晚",AND(G584&lt;=5),"晚")</f>
        <v>晚</v>
      </c>
    </row>
    <row r="585" spans="1:8" x14ac:dyDescent="0.3">
      <c r="A585" s="2">
        <v>45112.208333333343</v>
      </c>
      <c r="B585">
        <v>23.78581378183749</v>
      </c>
      <c r="C585">
        <v>38.973496456017394</v>
      </c>
      <c r="D585">
        <v>384.53792345722673</v>
      </c>
      <c r="E585">
        <v>2.8905224721459639</v>
      </c>
      <c r="F585">
        <v>1.0702392681203701</v>
      </c>
      <c r="G585">
        <f t="shared" si="9"/>
        <v>5</v>
      </c>
      <c r="H585" t="str" cm="1">
        <f t="array" ref="H585">_xlfn.IFS(AND(G585&gt;=6,G585&lt;=12),"上",AND(G585&gt;=13,G585&lt;=18),"下",AND(G585&gt;=19,G585&lt;=24),"晚",AND(G585&lt;=5),"晚")</f>
        <v>晚</v>
      </c>
    </row>
    <row r="586" spans="1:8" x14ac:dyDescent="0.3">
      <c r="A586" s="2">
        <v>45273.958333333343</v>
      </c>
      <c r="B586">
        <v>22.069313586820002</v>
      </c>
      <c r="C586">
        <v>63.04396413644583</v>
      </c>
      <c r="D586">
        <v>373.34272490766119</v>
      </c>
      <c r="E586">
        <v>1.9168106949485031</v>
      </c>
      <c r="F586">
        <v>1.2910511782687859</v>
      </c>
      <c r="G586">
        <f t="shared" si="9"/>
        <v>23</v>
      </c>
      <c r="H586" t="str" cm="1">
        <f t="array" ref="H586">_xlfn.IFS(AND(G586&gt;=6,G586&lt;=12),"上",AND(G586&gt;=13,G586&lt;=18),"下",AND(G586&gt;=19,G586&lt;=24),"晚",AND(G586&lt;=5),"晚")</f>
        <v>晚</v>
      </c>
    </row>
    <row r="587" spans="1:8" x14ac:dyDescent="0.3">
      <c r="A587" s="2">
        <v>45262.75</v>
      </c>
      <c r="B587">
        <v>25.007837145061739</v>
      </c>
      <c r="C587">
        <v>46.640259114854253</v>
      </c>
      <c r="D587">
        <v>984.42085936524541</v>
      </c>
      <c r="E587">
        <v>3.6837618800698491</v>
      </c>
      <c r="F587">
        <v>0.60828432356205786</v>
      </c>
      <c r="G587">
        <f t="shared" si="9"/>
        <v>18</v>
      </c>
      <c r="H587" t="str" cm="1">
        <f t="array" ref="H587">_xlfn.IFS(AND(G587&gt;=6,G587&lt;=12),"上",AND(G587&gt;=13,G587&lt;=18),"下",AND(G587&gt;=19,G587&lt;=24),"晚",AND(G587&lt;=5),"晚")</f>
        <v>下</v>
      </c>
    </row>
    <row r="588" spans="1:8" x14ac:dyDescent="0.3">
      <c r="A588" s="2">
        <v>45087.416666666657</v>
      </c>
      <c r="B588">
        <v>29.298208966736219</v>
      </c>
      <c r="C588">
        <v>49.295992511521547</v>
      </c>
      <c r="D588">
        <v>993.09420196566032</v>
      </c>
      <c r="E588">
        <v>2.0705019531086761</v>
      </c>
      <c r="F588">
        <v>1.6200980747045779</v>
      </c>
      <c r="G588">
        <f t="shared" si="9"/>
        <v>10</v>
      </c>
      <c r="H588" t="str" cm="1">
        <f t="array" ref="H588">_xlfn.IFS(AND(G588&gt;=6,G588&lt;=12),"上",AND(G588&gt;=13,G588&lt;=18),"下",AND(G588&gt;=19,G588&lt;=24),"晚",AND(G588&lt;=5),"晚")</f>
        <v>上</v>
      </c>
    </row>
    <row r="589" spans="1:8" x14ac:dyDescent="0.3">
      <c r="A589" s="2">
        <v>45016.083333333343</v>
      </c>
      <c r="B589">
        <v>26.942861467422571</v>
      </c>
      <c r="C589">
        <v>35.145526307076942</v>
      </c>
      <c r="D589">
        <v>678.63528240187065</v>
      </c>
      <c r="E589">
        <v>4.6607641820494816</v>
      </c>
      <c r="F589">
        <v>0.72528628045395283</v>
      </c>
      <c r="G589">
        <f t="shared" si="9"/>
        <v>2</v>
      </c>
      <c r="H589" t="str" cm="1">
        <f t="array" ref="H589">_xlfn.IFS(AND(G589&gt;=6,G589&lt;=12),"上",AND(G589&gt;=13,G589&lt;=18),"下",AND(G589&gt;=19,G589&lt;=24),"晚",AND(G589&lt;=5),"晚")</f>
        <v>晚</v>
      </c>
    </row>
    <row r="590" spans="1:8" x14ac:dyDescent="0.3">
      <c r="A590" s="2">
        <v>45254.291666666657</v>
      </c>
      <c r="B590">
        <v>23.40086720233699</v>
      </c>
      <c r="C590">
        <v>31.126544390134139</v>
      </c>
      <c r="D590">
        <v>828.81445222554419</v>
      </c>
      <c r="E590">
        <v>2.9081824341101621</v>
      </c>
      <c r="F590">
        <v>0.34725854840692461</v>
      </c>
      <c r="G590">
        <f t="shared" si="9"/>
        <v>7</v>
      </c>
      <c r="H590" t="str" cm="1">
        <f t="array" ref="H590">_xlfn.IFS(AND(G590&gt;=6,G590&lt;=12),"上",AND(G590&gt;=13,G590&lt;=18),"下",AND(G590&gt;=19,G590&lt;=24),"晚",AND(G590&lt;=5),"晚")</f>
        <v>上</v>
      </c>
    </row>
    <row r="591" spans="1:8" x14ac:dyDescent="0.3">
      <c r="A591" s="2">
        <v>45038.708333333343</v>
      </c>
      <c r="B591">
        <v>23.0384354735519</v>
      </c>
      <c r="C591">
        <v>60.36944928966949</v>
      </c>
      <c r="D591">
        <v>749.03036801252824</v>
      </c>
      <c r="E591">
        <v>4.1382179521646334</v>
      </c>
      <c r="F591">
        <v>0.21309071374765559</v>
      </c>
      <c r="G591">
        <f t="shared" si="9"/>
        <v>17</v>
      </c>
      <c r="H591" t="str" cm="1">
        <f t="array" ref="H591">_xlfn.IFS(AND(G591&gt;=6,G591&lt;=12),"上",AND(G591&gt;=13,G591&lt;=18),"下",AND(G591&gt;=19,G591&lt;=24),"晚",AND(G591&lt;=5),"晚")</f>
        <v>下</v>
      </c>
    </row>
    <row r="592" spans="1:8" x14ac:dyDescent="0.3">
      <c r="A592" s="2">
        <v>45126.208333333343</v>
      </c>
      <c r="B592">
        <v>26.61286557026359</v>
      </c>
      <c r="C592">
        <v>32.959588150192197</v>
      </c>
      <c r="D592">
        <v>713.90055403472707</v>
      </c>
      <c r="E592">
        <v>1.196550219077761</v>
      </c>
      <c r="F592">
        <v>1.354017823864502</v>
      </c>
      <c r="G592">
        <f t="shared" si="9"/>
        <v>5</v>
      </c>
      <c r="H592" t="str" cm="1">
        <f t="array" ref="H592">_xlfn.IFS(AND(G592&gt;=6,G592&lt;=12),"上",AND(G592&gt;=13,G592&lt;=18),"下",AND(G592&gt;=19,G592&lt;=24),"晚",AND(G592&lt;=5),"晚")</f>
        <v>晚</v>
      </c>
    </row>
    <row r="593" spans="1:8" x14ac:dyDescent="0.3">
      <c r="A593" s="2">
        <v>44951.25</v>
      </c>
      <c r="B593">
        <v>20.888046565068869</v>
      </c>
      <c r="C593">
        <v>55.606360817353391</v>
      </c>
      <c r="D593">
        <v>231.8573721715504</v>
      </c>
      <c r="E593">
        <v>3.9299554421226781</v>
      </c>
      <c r="F593">
        <v>0.60295160143610171</v>
      </c>
      <c r="G593">
        <f t="shared" si="9"/>
        <v>6</v>
      </c>
      <c r="H593" t="str" cm="1">
        <f t="array" ref="H593">_xlfn.IFS(AND(G593&gt;=6,G593&lt;=12),"上",AND(G593&gt;=13,G593&lt;=18),"下",AND(G593&gt;=19,G593&lt;=24),"晚",AND(G593&lt;=5),"晚")</f>
        <v>上</v>
      </c>
    </row>
    <row r="594" spans="1:8" x14ac:dyDescent="0.3">
      <c r="A594" s="2">
        <v>45055.083333333343</v>
      </c>
      <c r="B594">
        <v>23.654101824741819</v>
      </c>
      <c r="C594">
        <v>51.501258053773803</v>
      </c>
      <c r="D594">
        <v>223.04962652849619</v>
      </c>
      <c r="E594">
        <v>1.5919044761846359</v>
      </c>
      <c r="F594">
        <v>1.717993826992432</v>
      </c>
      <c r="G594">
        <f t="shared" si="9"/>
        <v>2</v>
      </c>
      <c r="H594" t="str" cm="1">
        <f t="array" ref="H594">_xlfn.IFS(AND(G594&gt;=6,G594&lt;=12),"上",AND(G594&gt;=13,G594&lt;=18),"下",AND(G594&gt;=19,G594&lt;=24),"晚",AND(G594&lt;=5),"晚")</f>
        <v>晚</v>
      </c>
    </row>
    <row r="595" spans="1:8" x14ac:dyDescent="0.3">
      <c r="A595" s="2">
        <v>45214.375</v>
      </c>
      <c r="B595">
        <v>24.786777836082141</v>
      </c>
      <c r="C595">
        <v>50.73962185550343</v>
      </c>
      <c r="D595">
        <v>897.25587638806303</v>
      </c>
      <c r="E595">
        <v>1.8708714929903261</v>
      </c>
      <c r="F595">
        <v>1.567620512274756</v>
      </c>
      <c r="G595">
        <f t="shared" si="9"/>
        <v>9</v>
      </c>
      <c r="H595" t="str" cm="1">
        <f t="array" ref="H595">_xlfn.IFS(AND(G595&gt;=6,G595&lt;=12),"上",AND(G595&gt;=13,G595&lt;=18),"下",AND(G595&gt;=19,G595&lt;=24),"晚",AND(G595&lt;=5),"晚")</f>
        <v>上</v>
      </c>
    </row>
    <row r="596" spans="1:8" x14ac:dyDescent="0.3">
      <c r="A596" s="2">
        <v>44945.375</v>
      </c>
      <c r="B596">
        <v>27.605174772189201</v>
      </c>
      <c r="C596">
        <v>41.987400886522977</v>
      </c>
      <c r="D596">
        <v>112.8404145058164</v>
      </c>
      <c r="E596">
        <v>4.4452335602847128</v>
      </c>
      <c r="F596">
        <v>0.31889510781054742</v>
      </c>
      <c r="G596">
        <f t="shared" si="9"/>
        <v>9</v>
      </c>
      <c r="H596" t="str" cm="1">
        <f t="array" ref="H596">_xlfn.IFS(AND(G596&gt;=6,G596&lt;=12),"上",AND(G596&gt;=13,G596&lt;=18),"下",AND(G596&gt;=19,G596&lt;=24),"晚",AND(G596&lt;=5),"晚")</f>
        <v>上</v>
      </c>
    </row>
    <row r="597" spans="1:8" x14ac:dyDescent="0.3">
      <c r="A597" s="2">
        <v>44939.791666666657</v>
      </c>
      <c r="B597">
        <v>23.25517313597064</v>
      </c>
      <c r="C597">
        <v>60.24114542684385</v>
      </c>
      <c r="D597">
        <v>711.787491143323</v>
      </c>
      <c r="E597">
        <v>1.49570057457507</v>
      </c>
      <c r="F597">
        <v>1.1550343332016331</v>
      </c>
      <c r="G597">
        <f t="shared" si="9"/>
        <v>19</v>
      </c>
      <c r="H597" t="str" cm="1">
        <f t="array" ref="H597">_xlfn.IFS(AND(G597&gt;=6,G597&lt;=12),"上",AND(G597&gt;=13,G597&lt;=18),"下",AND(G597&gt;=19,G597&lt;=24),"晚",AND(G597&lt;=5),"晚")</f>
        <v>晚</v>
      </c>
    </row>
    <row r="598" spans="1:8" x14ac:dyDescent="0.3">
      <c r="A598" s="2">
        <v>45260.791666666657</v>
      </c>
      <c r="B598">
        <v>27.921518285582518</v>
      </c>
      <c r="C598">
        <v>46.024542055387691</v>
      </c>
      <c r="D598">
        <v>824.30680469368929</v>
      </c>
      <c r="E598">
        <v>2.178842885749892</v>
      </c>
      <c r="F598">
        <v>1.9380104024336851</v>
      </c>
      <c r="G598">
        <f t="shared" si="9"/>
        <v>19</v>
      </c>
      <c r="H598" t="str" cm="1">
        <f t="array" ref="H598">_xlfn.IFS(AND(G598&gt;=6,G598&lt;=12),"上",AND(G598&gt;=13,G598&lt;=18),"下",AND(G598&gt;=19,G598&lt;=24),"晚",AND(G598&lt;=5),"晚")</f>
        <v>晚</v>
      </c>
    </row>
    <row r="599" spans="1:8" x14ac:dyDescent="0.3">
      <c r="A599" s="2">
        <v>45261.166666666657</v>
      </c>
      <c r="B599">
        <v>27.826874906281031</v>
      </c>
      <c r="C599">
        <v>36.050182872390216</v>
      </c>
      <c r="D599">
        <v>746.12173438814</v>
      </c>
      <c r="E599">
        <v>2.4796289334318979</v>
      </c>
      <c r="F599">
        <v>1.675538757780024</v>
      </c>
      <c r="G599">
        <f t="shared" si="9"/>
        <v>4</v>
      </c>
      <c r="H599" t="str" cm="1">
        <f t="array" ref="H599">_xlfn.IFS(AND(G599&gt;=6,G599&lt;=12),"上",AND(G599&gt;=13,G599&lt;=18),"下",AND(G599&gt;=19,G599&lt;=24),"晚",AND(G599&lt;=5),"晚")</f>
        <v>晚</v>
      </c>
    </row>
    <row r="600" spans="1:8" x14ac:dyDescent="0.3">
      <c r="A600" s="2">
        <v>45172.458333333343</v>
      </c>
      <c r="B600">
        <v>20.19463210418872</v>
      </c>
      <c r="C600">
        <v>32.241725615106887</v>
      </c>
      <c r="D600">
        <v>229.96833632693961</v>
      </c>
      <c r="E600">
        <v>4.6400422721938419</v>
      </c>
      <c r="F600">
        <v>1.757255172031509</v>
      </c>
      <c r="G600">
        <f t="shared" si="9"/>
        <v>11</v>
      </c>
      <c r="H600" t="str" cm="1">
        <f t="array" ref="H600">_xlfn.IFS(AND(G600&gt;=6,G600&lt;=12),"上",AND(G600&gt;=13,G600&lt;=18),"下",AND(G600&gt;=19,G600&lt;=24),"晚",AND(G600&lt;=5),"晚")</f>
        <v>上</v>
      </c>
    </row>
    <row r="601" spans="1:8" x14ac:dyDescent="0.3">
      <c r="A601" s="2">
        <v>45096.875</v>
      </c>
      <c r="B601">
        <v>21.904131239302799</v>
      </c>
      <c r="C601">
        <v>43.7019198314986</v>
      </c>
      <c r="D601">
        <v>676.45359619893588</v>
      </c>
      <c r="E601">
        <v>1.5715585543219459</v>
      </c>
      <c r="F601">
        <v>0.59923772912901963</v>
      </c>
      <c r="G601">
        <f t="shared" si="9"/>
        <v>21</v>
      </c>
      <c r="H601" t="str" cm="1">
        <f t="array" ref="H601">_xlfn.IFS(AND(G601&gt;=6,G601&lt;=12),"上",AND(G601&gt;=13,G601&lt;=18),"下",AND(G601&gt;=19,G601&lt;=24),"晚",AND(G601&lt;=5),"晚")</f>
        <v>晚</v>
      </c>
    </row>
    <row r="602" spans="1:8" x14ac:dyDescent="0.3">
      <c r="A602" s="2">
        <v>44940.208333333343</v>
      </c>
      <c r="B602">
        <v>26.533942786712942</v>
      </c>
      <c r="C602">
        <v>54.32219917800365</v>
      </c>
      <c r="D602">
        <v>211.13809491896731</v>
      </c>
      <c r="E602">
        <v>3.467739881675207</v>
      </c>
      <c r="F602">
        <v>1.478408977416064</v>
      </c>
      <c r="G602">
        <f t="shared" si="9"/>
        <v>5</v>
      </c>
      <c r="H602" t="str" cm="1">
        <f t="array" ref="H602">_xlfn.IFS(AND(G602&gt;=6,G602&lt;=12),"上",AND(G602&gt;=13,G602&lt;=18),"下",AND(G602&gt;=19,G602&lt;=24),"晚",AND(G602&lt;=5),"晚")</f>
        <v>晚</v>
      </c>
    </row>
    <row r="603" spans="1:8" x14ac:dyDescent="0.3">
      <c r="A603" s="2">
        <v>45248.625</v>
      </c>
      <c r="B603">
        <v>24.960420603042969</v>
      </c>
      <c r="C603">
        <v>38.812883727661713</v>
      </c>
      <c r="D603">
        <v>516.02255056184083</v>
      </c>
      <c r="E603">
        <v>1.8116310553278581</v>
      </c>
      <c r="F603">
        <v>0.7457751425094733</v>
      </c>
      <c r="G603">
        <f t="shared" si="9"/>
        <v>15</v>
      </c>
      <c r="H603" t="str" cm="1">
        <f t="array" ref="H603">_xlfn.IFS(AND(G603&gt;=6,G603&lt;=12),"上",AND(G603&gt;=13,G603&lt;=18),"下",AND(G603&gt;=19,G603&lt;=24),"晚",AND(G603&lt;=5),"晚")</f>
        <v>下</v>
      </c>
    </row>
    <row r="604" spans="1:8" x14ac:dyDescent="0.3">
      <c r="A604" s="2">
        <v>44989.708333333343</v>
      </c>
      <c r="B604">
        <v>20.276363215541931</v>
      </c>
      <c r="C604">
        <v>59.688191734922462</v>
      </c>
      <c r="D604">
        <v>689.34927079583406</v>
      </c>
      <c r="E604">
        <v>2.1552357862019922</v>
      </c>
      <c r="F604">
        <v>1.6733190591019409</v>
      </c>
      <c r="G604">
        <f t="shared" si="9"/>
        <v>17</v>
      </c>
      <c r="H604" t="str" cm="1">
        <f t="array" ref="H604">_xlfn.IFS(AND(G604&gt;=6,G604&lt;=12),"上",AND(G604&gt;=13,G604&lt;=18),"下",AND(G604&gt;=19,G604&lt;=24),"晚",AND(G604&lt;=5),"晚")</f>
        <v>下</v>
      </c>
    </row>
    <row r="605" spans="1:8" x14ac:dyDescent="0.3">
      <c r="A605" s="2">
        <v>44949.333333333343</v>
      </c>
      <c r="B605">
        <v>23.596488810184319</v>
      </c>
      <c r="C605">
        <v>34.349032530600319</v>
      </c>
      <c r="D605">
        <v>434.68304246886407</v>
      </c>
      <c r="E605">
        <v>2.7802401497353029</v>
      </c>
      <c r="F605">
        <v>0.29503921127550459</v>
      </c>
      <c r="G605">
        <f t="shared" si="9"/>
        <v>8</v>
      </c>
      <c r="H605" t="str" cm="1">
        <f t="array" ref="H605">_xlfn.IFS(AND(G605&gt;=6,G605&lt;=12),"上",AND(G605&gt;=13,G605&lt;=18),"下",AND(G605&gt;=19,G605&lt;=24),"晚",AND(G605&lt;=5),"晚")</f>
        <v>上</v>
      </c>
    </row>
    <row r="606" spans="1:8" x14ac:dyDescent="0.3">
      <c r="A606" s="2">
        <v>44949.041666666657</v>
      </c>
      <c r="B606">
        <v>26.25773599727361</v>
      </c>
      <c r="C606">
        <v>48.878590289932433</v>
      </c>
      <c r="D606">
        <v>565.52125277023833</v>
      </c>
      <c r="E606">
        <v>3.1889063094756729</v>
      </c>
      <c r="F606">
        <v>1.4017167867729241</v>
      </c>
      <c r="G606">
        <f t="shared" si="9"/>
        <v>1</v>
      </c>
      <c r="H606" t="str" cm="1">
        <f t="array" ref="H606">_xlfn.IFS(AND(G606&gt;=6,G606&lt;=12),"上",AND(G606&gt;=13,G606&lt;=18),"下",AND(G606&gt;=19,G606&lt;=24),"晚",AND(G606&lt;=5),"晚")</f>
        <v>晚</v>
      </c>
    </row>
    <row r="607" spans="1:8" x14ac:dyDescent="0.3">
      <c r="A607" s="2">
        <v>45078.666666666657</v>
      </c>
      <c r="B607">
        <v>29.91686339760631</v>
      </c>
      <c r="C607">
        <v>51.468170132983893</v>
      </c>
      <c r="D607">
        <v>952.25909534646757</v>
      </c>
      <c r="E607">
        <v>1.701494547304534</v>
      </c>
      <c r="F607">
        <v>1.325318207272848</v>
      </c>
      <c r="G607">
        <f t="shared" si="9"/>
        <v>16</v>
      </c>
      <c r="H607" t="str" cm="1">
        <f t="array" ref="H607">_xlfn.IFS(AND(G607&gt;=6,G607&lt;=12),"上",AND(G607&gt;=13,G607&lt;=18),"下",AND(G607&gt;=19,G607&lt;=24),"晚",AND(G607&lt;=5),"晚")</f>
        <v>下</v>
      </c>
    </row>
    <row r="608" spans="1:8" x14ac:dyDescent="0.3">
      <c r="A608" s="2">
        <v>45220.041666666657</v>
      </c>
      <c r="B608">
        <v>22.068744951796731</v>
      </c>
      <c r="C608">
        <v>62.840483850677607</v>
      </c>
      <c r="D608">
        <v>379.35068312456741</v>
      </c>
      <c r="E608">
        <v>3.3820878284234621</v>
      </c>
      <c r="F608">
        <v>0.59650447267741669</v>
      </c>
      <c r="G608">
        <f t="shared" si="9"/>
        <v>1</v>
      </c>
      <c r="H608" t="str" cm="1">
        <f t="array" ref="H608">_xlfn.IFS(AND(G608&gt;=6,G608&lt;=12),"上",AND(G608&gt;=13,G608&lt;=18),"下",AND(G608&gt;=19,G608&lt;=24),"晚",AND(G608&lt;=5),"晚")</f>
        <v>晚</v>
      </c>
    </row>
    <row r="609" spans="1:8" x14ac:dyDescent="0.3">
      <c r="A609" s="2">
        <v>45141.125</v>
      </c>
      <c r="B609">
        <v>21.527190066500509</v>
      </c>
      <c r="C609">
        <v>34.717907318312641</v>
      </c>
      <c r="D609">
        <v>257.50891357133219</v>
      </c>
      <c r="E609">
        <v>3.4289775409805689</v>
      </c>
      <c r="F609">
        <v>1.3011068034768389</v>
      </c>
      <c r="G609">
        <f t="shared" si="9"/>
        <v>3</v>
      </c>
      <c r="H609" t="str" cm="1">
        <f t="array" ref="H609">_xlfn.IFS(AND(G609&gt;=6,G609&lt;=12),"上",AND(G609&gt;=13,G609&lt;=18),"下",AND(G609&gt;=19,G609&lt;=24),"晚",AND(G609&lt;=5),"晚")</f>
        <v>晚</v>
      </c>
    </row>
    <row r="610" spans="1:8" x14ac:dyDescent="0.3">
      <c r="A610" s="2">
        <v>45190.75</v>
      </c>
      <c r="B610">
        <v>23.643684619792118</v>
      </c>
      <c r="C610">
        <v>30.06699976295284</v>
      </c>
      <c r="D610">
        <v>916.80860423529418</v>
      </c>
      <c r="E610">
        <v>2.6341411015873368</v>
      </c>
      <c r="F610">
        <v>1.8306738182836051</v>
      </c>
      <c r="G610">
        <f t="shared" si="9"/>
        <v>18</v>
      </c>
      <c r="H610" t="str" cm="1">
        <f t="array" ref="H610">_xlfn.IFS(AND(G610&gt;=6,G610&lt;=12),"上",AND(G610&gt;=13,G610&lt;=18),"下",AND(G610&gt;=19,G610&lt;=24),"晚",AND(G610&lt;=5),"晚")</f>
        <v>下</v>
      </c>
    </row>
    <row r="611" spans="1:8" x14ac:dyDescent="0.3">
      <c r="A611" s="2">
        <v>45162.291666666657</v>
      </c>
      <c r="B611">
        <v>25.509126291877308</v>
      </c>
      <c r="C611">
        <v>51.348388470051468</v>
      </c>
      <c r="D611">
        <v>534.92833406730449</v>
      </c>
      <c r="E611">
        <v>1.8028805609925309</v>
      </c>
      <c r="F611">
        <v>1.268815076754003</v>
      </c>
      <c r="G611">
        <f t="shared" si="9"/>
        <v>7</v>
      </c>
      <c r="H611" t="str" cm="1">
        <f t="array" ref="H611">_xlfn.IFS(AND(G611&gt;=6,G611&lt;=12),"上",AND(G611&gt;=13,G611&lt;=18),"下",AND(G611&gt;=19,G611&lt;=24),"晚",AND(G611&lt;=5),"晚")</f>
        <v>上</v>
      </c>
    </row>
    <row r="612" spans="1:8" x14ac:dyDescent="0.3">
      <c r="A612" s="2">
        <v>44931.416666666657</v>
      </c>
      <c r="B612">
        <v>26.644993180338091</v>
      </c>
      <c r="C612">
        <v>36.02900288736582</v>
      </c>
      <c r="D612">
        <v>546.7209392201637</v>
      </c>
      <c r="E612">
        <v>2.3357091054525192</v>
      </c>
      <c r="F612">
        <v>0.44968171967088411</v>
      </c>
      <c r="G612">
        <f t="shared" si="9"/>
        <v>10</v>
      </c>
      <c r="H612" t="str" cm="1">
        <f t="array" ref="H612">_xlfn.IFS(AND(G612&gt;=6,G612&lt;=12),"上",AND(G612&gt;=13,G612&lt;=18),"下",AND(G612&gt;=19,G612&lt;=24),"晚",AND(G612&lt;=5),"晚")</f>
        <v>上</v>
      </c>
    </row>
    <row r="613" spans="1:8" x14ac:dyDescent="0.3">
      <c r="A613" s="2">
        <v>45036.416666666657</v>
      </c>
      <c r="B613">
        <v>23.608147570109949</v>
      </c>
      <c r="C613">
        <v>52.867734653833473</v>
      </c>
      <c r="D613">
        <v>958.20633391261288</v>
      </c>
      <c r="E613">
        <v>1.392146366644698</v>
      </c>
      <c r="F613">
        <v>0.68170858570123294</v>
      </c>
      <c r="G613">
        <f t="shared" si="9"/>
        <v>10</v>
      </c>
      <c r="H613" t="str" cm="1">
        <f t="array" ref="H613">_xlfn.IFS(AND(G613&gt;=6,G613&lt;=12),"上",AND(G613&gt;=13,G613&lt;=18),"下",AND(G613&gt;=19,G613&lt;=24),"晚",AND(G613&lt;=5),"晚")</f>
        <v>上</v>
      </c>
    </row>
    <row r="614" spans="1:8" x14ac:dyDescent="0.3">
      <c r="A614" s="2">
        <v>45242.958333333343</v>
      </c>
      <c r="B614">
        <v>22.284416382932271</v>
      </c>
      <c r="C614">
        <v>31.316112230377211</v>
      </c>
      <c r="D614">
        <v>341.02689959648899</v>
      </c>
      <c r="E614">
        <v>3.9793510156143181</v>
      </c>
      <c r="F614">
        <v>0.76796102424400614</v>
      </c>
      <c r="G614">
        <f t="shared" si="9"/>
        <v>23</v>
      </c>
      <c r="H614" t="str" cm="1">
        <f t="array" ref="H614">_xlfn.IFS(AND(G614&gt;=6,G614&lt;=12),"上",AND(G614&gt;=13,G614&lt;=18),"下",AND(G614&gt;=19,G614&lt;=24),"晚",AND(G614&lt;=5),"晚")</f>
        <v>晚</v>
      </c>
    </row>
    <row r="615" spans="1:8" x14ac:dyDescent="0.3">
      <c r="A615" s="2">
        <v>44943.5</v>
      </c>
      <c r="B615">
        <v>20.052244304080538</v>
      </c>
      <c r="C615">
        <v>49.627000782441677</v>
      </c>
      <c r="D615">
        <v>816.82990884326864</v>
      </c>
      <c r="E615">
        <v>1.058469200023016</v>
      </c>
      <c r="F615">
        <v>0.69122176203250951</v>
      </c>
      <c r="G615">
        <f t="shared" si="9"/>
        <v>12</v>
      </c>
      <c r="H615" t="str" cm="1">
        <f t="array" ref="H615">_xlfn.IFS(AND(G615&gt;=6,G615&lt;=12),"上",AND(G615&gt;=13,G615&lt;=18),"下",AND(G615&gt;=19,G615&lt;=24),"晚",AND(G615&lt;=5),"晚")</f>
        <v>上</v>
      </c>
    </row>
    <row r="616" spans="1:8" x14ac:dyDescent="0.3">
      <c r="A616" s="2">
        <v>45161.708333333343</v>
      </c>
      <c r="B616">
        <v>21.834469990438169</v>
      </c>
      <c r="C616">
        <v>45.629600232864277</v>
      </c>
      <c r="D616">
        <v>604.14034317229812</v>
      </c>
      <c r="E616">
        <v>2.327163339159394</v>
      </c>
      <c r="F616">
        <v>1.400374215171009</v>
      </c>
      <c r="G616">
        <f t="shared" si="9"/>
        <v>17</v>
      </c>
      <c r="H616" t="str" cm="1">
        <f t="array" ref="H616">_xlfn.IFS(AND(G616&gt;=6,G616&lt;=12),"上",AND(G616&gt;=13,G616&lt;=18),"下",AND(G616&gt;=19,G616&lt;=24),"晚",AND(G616&lt;=5),"晚")</f>
        <v>下</v>
      </c>
    </row>
    <row r="617" spans="1:8" x14ac:dyDescent="0.3">
      <c r="A617" s="2">
        <v>44949.625</v>
      </c>
      <c r="B617">
        <v>21.00063564428832</v>
      </c>
      <c r="C617">
        <v>36.249895297487093</v>
      </c>
      <c r="D617">
        <v>721.01598724036342</v>
      </c>
      <c r="E617">
        <v>4.6973620486446297</v>
      </c>
      <c r="F617">
        <v>1.905005282705279</v>
      </c>
      <c r="G617">
        <f t="shared" si="9"/>
        <v>15</v>
      </c>
      <c r="H617" t="str" cm="1">
        <f t="array" ref="H617">_xlfn.IFS(AND(G617&gt;=6,G617&lt;=12),"上",AND(G617&gt;=13,G617&lt;=18),"下",AND(G617&gt;=19,G617&lt;=24),"晚",AND(G617&lt;=5),"晚")</f>
        <v>下</v>
      </c>
    </row>
    <row r="618" spans="1:8" x14ac:dyDescent="0.3">
      <c r="A618" s="2">
        <v>45228.541666666657</v>
      </c>
      <c r="B618">
        <v>22.421098654526372</v>
      </c>
      <c r="C618">
        <v>48.713889654752862</v>
      </c>
      <c r="D618">
        <v>523.57925620918377</v>
      </c>
      <c r="E618">
        <v>1.750077266920077</v>
      </c>
      <c r="F618">
        <v>1.057429310332201</v>
      </c>
      <c r="G618">
        <f t="shared" si="9"/>
        <v>13</v>
      </c>
      <c r="H618" t="str" cm="1">
        <f t="array" ref="H618">_xlfn.IFS(AND(G618&gt;=6,G618&lt;=12),"上",AND(G618&gt;=13,G618&lt;=18),"下",AND(G618&gt;=19,G618&lt;=24),"晚",AND(G618&lt;=5),"晚")</f>
        <v>下</v>
      </c>
    </row>
    <row r="619" spans="1:8" x14ac:dyDescent="0.3">
      <c r="A619" s="2">
        <v>45000.458333333343</v>
      </c>
      <c r="B619">
        <v>23.22574472619484</v>
      </c>
      <c r="C619">
        <v>49.086776332141241</v>
      </c>
      <c r="D619">
        <v>445.47295202755708</v>
      </c>
      <c r="E619">
        <v>3.0940621757383711</v>
      </c>
      <c r="F619">
        <v>1.6014883991230771</v>
      </c>
      <c r="G619">
        <f t="shared" si="9"/>
        <v>11</v>
      </c>
      <c r="H619" t="str" cm="1">
        <f t="array" ref="H619">_xlfn.IFS(AND(G619&gt;=6,G619&lt;=12),"上",AND(G619&gt;=13,G619&lt;=18),"下",AND(G619&gt;=19,G619&lt;=24),"晚",AND(G619&lt;=5),"晚")</f>
        <v>上</v>
      </c>
    </row>
    <row r="620" spans="1:8" x14ac:dyDescent="0.3">
      <c r="A620" s="2">
        <v>45093.75</v>
      </c>
      <c r="B620">
        <v>20.787384014094659</v>
      </c>
      <c r="C620">
        <v>32.715257373532218</v>
      </c>
      <c r="D620">
        <v>229.65417127791051</v>
      </c>
      <c r="E620">
        <v>1.596979958489442</v>
      </c>
      <c r="F620">
        <v>1.8943316379466879</v>
      </c>
      <c r="G620">
        <f t="shared" si="9"/>
        <v>18</v>
      </c>
      <c r="H620" t="str" cm="1">
        <f t="array" ref="H620">_xlfn.IFS(AND(G620&gt;=6,G620&lt;=12),"上",AND(G620&gt;=13,G620&lt;=18),"下",AND(G620&gt;=19,G620&lt;=24),"晚",AND(G620&lt;=5),"晚")</f>
        <v>下</v>
      </c>
    </row>
    <row r="621" spans="1:8" x14ac:dyDescent="0.3">
      <c r="A621" s="2">
        <v>44967.458333333343</v>
      </c>
      <c r="B621">
        <v>24.058459588711141</v>
      </c>
      <c r="C621">
        <v>57.076311713785529</v>
      </c>
      <c r="D621">
        <v>988.7501810560068</v>
      </c>
      <c r="E621">
        <v>4.7990736192784977</v>
      </c>
      <c r="F621">
        <v>0.81144438952175535</v>
      </c>
      <c r="G621">
        <f t="shared" si="9"/>
        <v>11</v>
      </c>
      <c r="H621" t="str" cm="1">
        <f t="array" ref="H621">_xlfn.IFS(AND(G621&gt;=6,G621&lt;=12),"上",AND(G621&gt;=13,G621&lt;=18),"下",AND(G621&gt;=19,G621&lt;=24),"晚",AND(G621&lt;=5),"晚")</f>
        <v>上</v>
      </c>
    </row>
    <row r="622" spans="1:8" x14ac:dyDescent="0.3">
      <c r="A622" s="2">
        <v>45041</v>
      </c>
      <c r="B622">
        <v>21.67626079743307</v>
      </c>
      <c r="C622">
        <v>66.547998923604666</v>
      </c>
      <c r="D622">
        <v>754.48098765153668</v>
      </c>
      <c r="E622">
        <v>4.2823178891857507</v>
      </c>
      <c r="F622">
        <v>0.1879295257287473</v>
      </c>
      <c r="G622">
        <f t="shared" si="9"/>
        <v>0</v>
      </c>
      <c r="H622" t="str" cm="1">
        <f t="array" ref="H622">_xlfn.IFS(AND(G622&gt;=6,G622&lt;=12),"上",AND(G622&gt;=13,G622&lt;=18),"下",AND(G622&gt;=19,G622&lt;=24),"晚",AND(G622&lt;=5),"晚")</f>
        <v>晚</v>
      </c>
    </row>
    <row r="623" spans="1:8" x14ac:dyDescent="0.3">
      <c r="A623" s="2">
        <v>45263.041666666657</v>
      </c>
      <c r="B623">
        <v>25.813675516899611</v>
      </c>
      <c r="C623">
        <v>54.537709340123747</v>
      </c>
      <c r="D623">
        <v>509.56254297886801</v>
      </c>
      <c r="E623">
        <v>2.2505018994331172</v>
      </c>
      <c r="F623">
        <v>1.5312730487576629</v>
      </c>
      <c r="G623">
        <f t="shared" si="9"/>
        <v>1</v>
      </c>
      <c r="H623" t="str" cm="1">
        <f t="array" ref="H623">_xlfn.IFS(AND(G623&gt;=6,G623&lt;=12),"上",AND(G623&gt;=13,G623&lt;=18),"下",AND(G623&gt;=19,G623&lt;=24),"晚",AND(G623&lt;=5),"晚")</f>
        <v>晚</v>
      </c>
    </row>
    <row r="624" spans="1:8" x14ac:dyDescent="0.3">
      <c r="A624" s="2">
        <v>44981.041666666657</v>
      </c>
      <c r="B624">
        <v>23.778774149738741</v>
      </c>
      <c r="C624">
        <v>55.087651782305137</v>
      </c>
      <c r="D624">
        <v>543.62596189140493</v>
      </c>
      <c r="E624">
        <v>4.0077834305898499</v>
      </c>
      <c r="F624">
        <v>1.4964816242676771</v>
      </c>
      <c r="G624">
        <f t="shared" si="9"/>
        <v>1</v>
      </c>
      <c r="H624" t="str" cm="1">
        <f t="array" ref="H624">_xlfn.IFS(AND(G624&gt;=6,G624&lt;=12),"上",AND(G624&gt;=13,G624&lt;=18),"下",AND(G624&gt;=19,G624&lt;=24),"晚",AND(G624&lt;=5),"晚")</f>
        <v>晚</v>
      </c>
    </row>
    <row r="625" spans="1:8" x14ac:dyDescent="0.3">
      <c r="A625" s="2">
        <v>45098.25</v>
      </c>
      <c r="B625">
        <v>26.396520657272589</v>
      </c>
      <c r="C625">
        <v>59.936122213594963</v>
      </c>
      <c r="D625">
        <v>100.2284584408214</v>
      </c>
      <c r="E625">
        <v>3.269408979754481</v>
      </c>
      <c r="F625">
        <v>0.67617799767127018</v>
      </c>
      <c r="G625">
        <f t="shared" si="9"/>
        <v>6</v>
      </c>
      <c r="H625" t="str" cm="1">
        <f t="array" ref="H625">_xlfn.IFS(AND(G625&gt;=6,G625&lt;=12),"上",AND(G625&gt;=13,G625&lt;=18),"下",AND(G625&gt;=19,G625&lt;=24),"晚",AND(G625&lt;=5),"晚")</f>
        <v>上</v>
      </c>
    </row>
    <row r="626" spans="1:8" x14ac:dyDescent="0.3">
      <c r="A626" s="2">
        <v>45286.875</v>
      </c>
      <c r="B626">
        <v>27.761543873400971</v>
      </c>
      <c r="C626">
        <v>67.442824344277696</v>
      </c>
      <c r="D626">
        <v>126.64675599090501</v>
      </c>
      <c r="E626">
        <v>1.8866091185371709</v>
      </c>
      <c r="F626">
        <v>0.61134677927549175</v>
      </c>
      <c r="G626">
        <f t="shared" si="9"/>
        <v>21</v>
      </c>
      <c r="H626" t="str" cm="1">
        <f t="array" ref="H626">_xlfn.IFS(AND(G626&gt;=6,G626&lt;=12),"上",AND(G626&gt;=13,G626&lt;=18),"下",AND(G626&gt;=19,G626&lt;=24),"晚",AND(G626&lt;=5),"晚")</f>
        <v>晚</v>
      </c>
    </row>
    <row r="627" spans="1:8" x14ac:dyDescent="0.3">
      <c r="A627" s="2">
        <v>45286.666666666657</v>
      </c>
      <c r="B627">
        <v>20.84702994819942</v>
      </c>
      <c r="C627">
        <v>69.299080399502216</v>
      </c>
      <c r="D627">
        <v>826.81897912616273</v>
      </c>
      <c r="E627">
        <v>1.537548582321097</v>
      </c>
      <c r="F627">
        <v>1.4363234987770681</v>
      </c>
      <c r="G627">
        <f t="shared" si="9"/>
        <v>16</v>
      </c>
      <c r="H627" t="str" cm="1">
        <f t="array" ref="H627">_xlfn.IFS(AND(G627&gt;=6,G627&lt;=12),"上",AND(G627&gt;=13,G627&lt;=18),"下",AND(G627&gt;=19,G627&lt;=24),"晚",AND(G627&lt;=5),"晚")</f>
        <v>下</v>
      </c>
    </row>
    <row r="628" spans="1:8" x14ac:dyDescent="0.3">
      <c r="A628" s="2">
        <v>45287.291666666657</v>
      </c>
      <c r="B628">
        <v>23.82478676672773</v>
      </c>
      <c r="C628">
        <v>49.707395010197899</v>
      </c>
      <c r="D628">
        <v>141.55272590720179</v>
      </c>
      <c r="E628">
        <v>1.9969790038093851</v>
      </c>
      <c r="F628">
        <v>0.39716975118900122</v>
      </c>
      <c r="G628">
        <f t="shared" si="9"/>
        <v>7</v>
      </c>
      <c r="H628" t="str" cm="1">
        <f t="array" ref="H628">_xlfn.IFS(AND(G628&gt;=6,G628&lt;=12),"上",AND(G628&gt;=13,G628&lt;=18),"下",AND(G628&gt;=19,G628&lt;=24),"晚",AND(G628&lt;=5),"晚")</f>
        <v>上</v>
      </c>
    </row>
    <row r="629" spans="1:8" x14ac:dyDescent="0.3">
      <c r="A629" s="2">
        <v>44974.458333333343</v>
      </c>
      <c r="B629">
        <v>29.777751801591929</v>
      </c>
      <c r="C629">
        <v>67.800313361760217</v>
      </c>
      <c r="D629">
        <v>794.54134888075419</v>
      </c>
      <c r="E629">
        <v>3.5159623775758262</v>
      </c>
      <c r="F629">
        <v>1.7025516279191979</v>
      </c>
      <c r="G629">
        <f t="shared" si="9"/>
        <v>11</v>
      </c>
      <c r="H629" t="str" cm="1">
        <f t="array" ref="H629">_xlfn.IFS(AND(G629&gt;=6,G629&lt;=12),"上",AND(G629&gt;=13,G629&lt;=18),"下",AND(G629&gt;=19,G629&lt;=24),"晚",AND(G629&lt;=5),"晚")</f>
        <v>上</v>
      </c>
    </row>
    <row r="630" spans="1:8" x14ac:dyDescent="0.3">
      <c r="A630" s="2">
        <v>45089.375</v>
      </c>
      <c r="B630">
        <v>20.023095960563239</v>
      </c>
      <c r="C630">
        <v>44.369705624905741</v>
      </c>
      <c r="D630">
        <v>742.02765351037442</v>
      </c>
      <c r="E630">
        <v>4.8190998296032497</v>
      </c>
      <c r="F630">
        <v>1.7351951545209969</v>
      </c>
      <c r="G630">
        <f t="shared" si="9"/>
        <v>9</v>
      </c>
      <c r="H630" t="str" cm="1">
        <f t="array" ref="H630">_xlfn.IFS(AND(G630&gt;=6,G630&lt;=12),"上",AND(G630&gt;=13,G630&lt;=18),"下",AND(G630&gt;=19,G630&lt;=24),"晚",AND(G630&lt;=5),"晚")</f>
        <v>上</v>
      </c>
    </row>
    <row r="631" spans="1:8" x14ac:dyDescent="0.3">
      <c r="A631" s="2">
        <v>45195.75</v>
      </c>
      <c r="B631">
        <v>24.589110067714721</v>
      </c>
      <c r="C631">
        <v>59.105792074140389</v>
      </c>
      <c r="D631">
        <v>711.39153951212427</v>
      </c>
      <c r="E631">
        <v>4.1075011825674661</v>
      </c>
      <c r="F631">
        <v>1.1760620148448799</v>
      </c>
      <c r="G631">
        <f t="shared" si="9"/>
        <v>18</v>
      </c>
      <c r="H631" t="str" cm="1">
        <f t="array" ref="H631">_xlfn.IFS(AND(G631&gt;=6,G631&lt;=12),"上",AND(G631&gt;=13,G631&lt;=18),"下",AND(G631&gt;=19,G631&lt;=24),"晚",AND(G631&lt;=5),"晚")</f>
        <v>下</v>
      </c>
    </row>
    <row r="632" spans="1:8" x14ac:dyDescent="0.3">
      <c r="A632" s="2">
        <v>44994</v>
      </c>
      <c r="B632">
        <v>24.689095558536192</v>
      </c>
      <c r="C632">
        <v>67.471827406572572</v>
      </c>
      <c r="D632">
        <v>590.05519195799275</v>
      </c>
      <c r="E632">
        <v>4.6138434820930856</v>
      </c>
      <c r="F632">
        <v>0.5157294713051519</v>
      </c>
      <c r="G632">
        <f t="shared" si="9"/>
        <v>0</v>
      </c>
      <c r="H632" t="str" cm="1">
        <f t="array" ref="H632">_xlfn.IFS(AND(G632&gt;=6,G632&lt;=12),"上",AND(G632&gt;=13,G632&lt;=18),"下",AND(G632&gt;=19,G632&lt;=24),"晚",AND(G632&lt;=5),"晚")</f>
        <v>晚</v>
      </c>
    </row>
    <row r="633" spans="1:8" x14ac:dyDescent="0.3">
      <c r="A633" s="2">
        <v>45070.416666666657</v>
      </c>
      <c r="B633">
        <v>28.237215576042129</v>
      </c>
      <c r="C633">
        <v>30.649311095246379</v>
      </c>
      <c r="D633">
        <v>412.59536931168913</v>
      </c>
      <c r="E633">
        <v>1.7763138293089411</v>
      </c>
      <c r="F633">
        <v>1.903105806434231</v>
      </c>
      <c r="G633">
        <f t="shared" si="9"/>
        <v>10</v>
      </c>
      <c r="H633" t="str" cm="1">
        <f t="array" ref="H633">_xlfn.IFS(AND(G633&gt;=6,G633&lt;=12),"上",AND(G633&gt;=13,G633&lt;=18),"下",AND(G633&gt;=19,G633&lt;=24),"晚",AND(G633&lt;=5),"晚")</f>
        <v>上</v>
      </c>
    </row>
    <row r="634" spans="1:8" x14ac:dyDescent="0.3">
      <c r="A634" s="2">
        <v>44933.75</v>
      </c>
      <c r="B634">
        <v>22.902269068105731</v>
      </c>
      <c r="C634">
        <v>66.821729688847441</v>
      </c>
      <c r="D634">
        <v>975.33830757556245</v>
      </c>
      <c r="E634">
        <v>4.6583575137675703</v>
      </c>
      <c r="F634">
        <v>0.5470349992126351</v>
      </c>
      <c r="G634">
        <f t="shared" si="9"/>
        <v>18</v>
      </c>
      <c r="H634" t="str" cm="1">
        <f t="array" ref="H634">_xlfn.IFS(AND(G634&gt;=6,G634&lt;=12),"上",AND(G634&gt;=13,G634&lt;=18),"下",AND(G634&gt;=19,G634&lt;=24),"晚",AND(G634&lt;=5),"晚")</f>
        <v>下</v>
      </c>
    </row>
    <row r="635" spans="1:8" x14ac:dyDescent="0.3">
      <c r="A635" s="2">
        <v>44995.083333333343</v>
      </c>
      <c r="B635">
        <v>27.760306496963079</v>
      </c>
      <c r="C635">
        <v>65.402004508706</v>
      </c>
      <c r="D635">
        <v>919.66380490471545</v>
      </c>
      <c r="E635">
        <v>1.3387279160498871</v>
      </c>
      <c r="F635">
        <v>0.68710197667827067</v>
      </c>
      <c r="G635">
        <f t="shared" si="9"/>
        <v>2</v>
      </c>
      <c r="H635" t="str" cm="1">
        <f t="array" ref="H635">_xlfn.IFS(AND(G635&gt;=6,G635&lt;=12),"上",AND(G635&gt;=13,G635&lt;=18),"下",AND(G635&gt;=19,G635&lt;=24),"晚",AND(G635&lt;=5),"晚")</f>
        <v>晚</v>
      </c>
    </row>
    <row r="636" spans="1:8" x14ac:dyDescent="0.3">
      <c r="A636" s="2">
        <v>45092.083333333343</v>
      </c>
      <c r="B636">
        <v>20.022002225633631</v>
      </c>
      <c r="C636">
        <v>38.21943210490042</v>
      </c>
      <c r="D636">
        <v>526.88343843189921</v>
      </c>
      <c r="E636">
        <v>4.7767475242416193</v>
      </c>
      <c r="F636">
        <v>0.93948089388270639</v>
      </c>
      <c r="G636">
        <f t="shared" si="9"/>
        <v>2</v>
      </c>
      <c r="H636" t="str" cm="1">
        <f t="array" ref="H636">_xlfn.IFS(AND(G636&gt;=6,G636&lt;=12),"上",AND(G636&gt;=13,G636&lt;=18),"下",AND(G636&gt;=19,G636&lt;=24),"晚",AND(G636&lt;=5),"晚")</f>
        <v>晚</v>
      </c>
    </row>
    <row r="637" spans="1:8" x14ac:dyDescent="0.3">
      <c r="A637" s="2">
        <v>45099</v>
      </c>
      <c r="B637">
        <v>24.907500177648</v>
      </c>
      <c r="C637">
        <v>46.38854398986674</v>
      </c>
      <c r="D637">
        <v>257.8779693726899</v>
      </c>
      <c r="E637">
        <v>1.5648626162327279</v>
      </c>
      <c r="F637">
        <v>1.089386902037043</v>
      </c>
      <c r="G637">
        <f t="shared" si="9"/>
        <v>0</v>
      </c>
      <c r="H637" t="str" cm="1">
        <f t="array" ref="H637">_xlfn.IFS(AND(G637&gt;=6,G637&lt;=12),"上",AND(G637&gt;=13,G637&lt;=18),"下",AND(G637&gt;=19,G637&lt;=24),"晚",AND(G637&lt;=5),"晚")</f>
        <v>晚</v>
      </c>
    </row>
    <row r="638" spans="1:8" x14ac:dyDescent="0.3">
      <c r="A638" s="2">
        <v>45130.708333333343</v>
      </c>
      <c r="B638">
        <v>23.19320488298268</v>
      </c>
      <c r="C638">
        <v>34.916785731435382</v>
      </c>
      <c r="D638">
        <v>311.11983220817382</v>
      </c>
      <c r="E638">
        <v>2.4461195832661722</v>
      </c>
      <c r="F638">
        <v>0.96548291204730763</v>
      </c>
      <c r="G638">
        <f t="shared" si="9"/>
        <v>17</v>
      </c>
      <c r="H638" t="str" cm="1">
        <f t="array" ref="H638">_xlfn.IFS(AND(G638&gt;=6,G638&lt;=12),"上",AND(G638&gt;=13,G638&lt;=18),"下",AND(G638&gt;=19,G638&lt;=24),"晚",AND(G638&lt;=5),"晚")</f>
        <v>下</v>
      </c>
    </row>
    <row r="639" spans="1:8" x14ac:dyDescent="0.3">
      <c r="A639" s="2">
        <v>45121.833333333343</v>
      </c>
      <c r="B639">
        <v>28.081555296908778</v>
      </c>
      <c r="C639">
        <v>59.887472281073791</v>
      </c>
      <c r="D639">
        <v>112.61455565906</v>
      </c>
      <c r="E639">
        <v>2.3822217074294421</v>
      </c>
      <c r="F639">
        <v>0.10039320211592211</v>
      </c>
      <c r="G639">
        <f t="shared" si="9"/>
        <v>20</v>
      </c>
      <c r="H639" t="str" cm="1">
        <f t="array" ref="H639">_xlfn.IFS(AND(G639&gt;=6,G639&lt;=12),"上",AND(G639&gt;=13,G639&lt;=18),"下",AND(G639&gt;=19,G639&lt;=24),"晚",AND(G639&lt;=5),"晚")</f>
        <v>晚</v>
      </c>
    </row>
    <row r="640" spans="1:8" x14ac:dyDescent="0.3">
      <c r="A640" s="2">
        <v>45113.083333333343</v>
      </c>
      <c r="B640">
        <v>24.029472787923378</v>
      </c>
      <c r="C640">
        <v>61.096542407176663</v>
      </c>
      <c r="D640">
        <v>885.04772694423491</v>
      </c>
      <c r="E640">
        <v>2.3194280822450088</v>
      </c>
      <c r="F640">
        <v>1.7381732734190141</v>
      </c>
      <c r="G640">
        <f t="shared" si="9"/>
        <v>2</v>
      </c>
      <c r="H640" t="str" cm="1">
        <f t="array" ref="H640">_xlfn.IFS(AND(G640&gt;=6,G640&lt;=12),"上",AND(G640&gt;=13,G640&lt;=18),"下",AND(G640&gt;=19,G640&lt;=24),"晚",AND(G640&lt;=5),"晚")</f>
        <v>晚</v>
      </c>
    </row>
    <row r="641" spans="1:8" x14ac:dyDescent="0.3">
      <c r="A641" s="2">
        <v>45154.916666666657</v>
      </c>
      <c r="B641">
        <v>20.698784196123562</v>
      </c>
      <c r="C641">
        <v>65.23767681724074</v>
      </c>
      <c r="D641">
        <v>427.07248785873571</v>
      </c>
      <c r="E641">
        <v>3.946461854545233</v>
      </c>
      <c r="F641">
        <v>0.14510338067714421</v>
      </c>
      <c r="G641">
        <f t="shared" si="9"/>
        <v>22</v>
      </c>
      <c r="H641" t="str" cm="1">
        <f t="array" ref="H641">_xlfn.IFS(AND(G641&gt;=6,G641&lt;=12),"上",AND(G641&gt;=13,G641&lt;=18),"下",AND(G641&gt;=19,G641&lt;=24),"晚",AND(G641&lt;=5),"晚")</f>
        <v>晚</v>
      </c>
    </row>
    <row r="642" spans="1:8" x14ac:dyDescent="0.3">
      <c r="A642" s="2">
        <v>45048.458333333343</v>
      </c>
      <c r="B642">
        <v>27.08386964964118</v>
      </c>
      <c r="C642">
        <v>47.658078426867469</v>
      </c>
      <c r="D642">
        <v>537.23790843987263</v>
      </c>
      <c r="E642">
        <v>4.3578879366778853</v>
      </c>
      <c r="F642">
        <v>1.7749461588147031</v>
      </c>
      <c r="G642">
        <f t="shared" si="9"/>
        <v>11</v>
      </c>
      <c r="H642" t="str" cm="1">
        <f t="array" ref="H642">_xlfn.IFS(AND(G642&gt;=6,G642&lt;=12),"上",AND(G642&gt;=13,G642&lt;=18),"下",AND(G642&gt;=19,G642&lt;=24),"晚",AND(G642&lt;=5),"晚")</f>
        <v>上</v>
      </c>
    </row>
    <row r="643" spans="1:8" x14ac:dyDescent="0.3">
      <c r="A643" s="2">
        <v>45156.333333333343</v>
      </c>
      <c r="B643">
        <v>20.13222987540227</v>
      </c>
      <c r="C643">
        <v>55.202459606776983</v>
      </c>
      <c r="D643">
        <v>573.80792966901413</v>
      </c>
      <c r="E643">
        <v>3.2818935168902001</v>
      </c>
      <c r="F643">
        <v>1.663353715585554</v>
      </c>
      <c r="G643">
        <f t="shared" ref="G643:G706" si="10">HOUR(A643)</f>
        <v>8</v>
      </c>
      <c r="H643" t="str" cm="1">
        <f t="array" ref="H643">_xlfn.IFS(AND(G643&gt;=6,G643&lt;=12),"上",AND(G643&gt;=13,G643&lt;=18),"下",AND(G643&gt;=19,G643&lt;=24),"晚",AND(G643&lt;=5),"晚")</f>
        <v>上</v>
      </c>
    </row>
    <row r="644" spans="1:8" x14ac:dyDescent="0.3">
      <c r="A644" s="2">
        <v>45125.125</v>
      </c>
      <c r="B644">
        <v>23.344165395805991</v>
      </c>
      <c r="C644">
        <v>63.74590081038393</v>
      </c>
      <c r="D644">
        <v>813.8199608339803</v>
      </c>
      <c r="E644">
        <v>3.184300194278364</v>
      </c>
      <c r="F644">
        <v>1.8797283049422291</v>
      </c>
      <c r="G644">
        <f t="shared" si="10"/>
        <v>3</v>
      </c>
      <c r="H644" t="str" cm="1">
        <f t="array" ref="H644">_xlfn.IFS(AND(G644&gt;=6,G644&lt;=12),"上",AND(G644&gt;=13,G644&lt;=18),"下",AND(G644&gt;=19,G644&lt;=24),"晚",AND(G644&lt;=5),"晚")</f>
        <v>晚</v>
      </c>
    </row>
    <row r="645" spans="1:8" x14ac:dyDescent="0.3">
      <c r="A645" s="2">
        <v>45137.625</v>
      </c>
      <c r="B645">
        <v>24.983299977548061</v>
      </c>
      <c r="C645">
        <v>33.735132689926317</v>
      </c>
      <c r="D645">
        <v>653.61673888668861</v>
      </c>
      <c r="E645">
        <v>2.04523178598199</v>
      </c>
      <c r="F645">
        <v>0.69653055534708164</v>
      </c>
      <c r="G645">
        <f t="shared" si="10"/>
        <v>15</v>
      </c>
      <c r="H645" t="str" cm="1">
        <f t="array" ref="H645">_xlfn.IFS(AND(G645&gt;=6,G645&lt;=12),"上",AND(G645&gt;=13,G645&lt;=18),"下",AND(G645&gt;=19,G645&lt;=24),"晚",AND(G645&lt;=5),"晚")</f>
        <v>下</v>
      </c>
    </row>
    <row r="646" spans="1:8" x14ac:dyDescent="0.3">
      <c r="A646" s="2">
        <v>45274.125</v>
      </c>
      <c r="B646">
        <v>27.417424111095791</v>
      </c>
      <c r="C646">
        <v>34.766326703510693</v>
      </c>
      <c r="D646">
        <v>162.35286826406369</v>
      </c>
      <c r="E646">
        <v>4.6133003026760324</v>
      </c>
      <c r="F646">
        <v>0.44144329944154942</v>
      </c>
      <c r="G646">
        <f t="shared" si="10"/>
        <v>3</v>
      </c>
      <c r="H646" t="str" cm="1">
        <f t="array" ref="H646">_xlfn.IFS(AND(G646&gt;=6,G646&lt;=12),"上",AND(G646&gt;=13,G646&lt;=18),"下",AND(G646&gt;=19,G646&lt;=24),"晚",AND(G646&lt;=5),"晚")</f>
        <v>晚</v>
      </c>
    </row>
    <row r="647" spans="1:8" x14ac:dyDescent="0.3">
      <c r="A647" s="2">
        <v>45260.5</v>
      </c>
      <c r="B647">
        <v>23.130639129209541</v>
      </c>
      <c r="C647">
        <v>62.711386135187482</v>
      </c>
      <c r="D647">
        <v>439.38637542800848</v>
      </c>
      <c r="E647">
        <v>3.2591093582608419</v>
      </c>
      <c r="F647">
        <v>0.20314439985765709</v>
      </c>
      <c r="G647">
        <f t="shared" si="10"/>
        <v>12</v>
      </c>
      <c r="H647" t="str" cm="1">
        <f t="array" ref="H647">_xlfn.IFS(AND(G647&gt;=6,G647&lt;=12),"上",AND(G647&gt;=13,G647&lt;=18),"下",AND(G647&gt;=19,G647&lt;=24),"晚",AND(G647&lt;=5),"晚")</f>
        <v>上</v>
      </c>
    </row>
    <row r="648" spans="1:8" x14ac:dyDescent="0.3">
      <c r="A648" s="2">
        <v>45138.625</v>
      </c>
      <c r="B648">
        <v>21.04097454472193</v>
      </c>
      <c r="C648">
        <v>47.678778948539438</v>
      </c>
      <c r="D648">
        <v>510.64167992966389</v>
      </c>
      <c r="E648">
        <v>2.6452490048635848</v>
      </c>
      <c r="F648">
        <v>1.4067111241577841</v>
      </c>
      <c r="G648">
        <f t="shared" si="10"/>
        <v>15</v>
      </c>
      <c r="H648" t="str" cm="1">
        <f t="array" ref="H648">_xlfn.IFS(AND(G648&gt;=6,G648&lt;=12),"上",AND(G648&gt;=13,G648&lt;=18),"下",AND(G648&gt;=19,G648&lt;=24),"晚",AND(G648&lt;=5),"晚")</f>
        <v>下</v>
      </c>
    </row>
    <row r="649" spans="1:8" x14ac:dyDescent="0.3">
      <c r="A649" s="2">
        <v>45215.958333333343</v>
      </c>
      <c r="B649">
        <v>28.252565367774771</v>
      </c>
      <c r="C649">
        <v>62.114775513089498</v>
      </c>
      <c r="D649">
        <v>746.4124051577046</v>
      </c>
      <c r="E649">
        <v>3.237997097066041</v>
      </c>
      <c r="F649">
        <v>0.39746181791448548</v>
      </c>
      <c r="G649">
        <f t="shared" si="10"/>
        <v>23</v>
      </c>
      <c r="H649" t="str" cm="1">
        <f t="array" ref="H649">_xlfn.IFS(AND(G649&gt;=6,G649&lt;=12),"上",AND(G649&gt;=13,G649&lt;=18),"下",AND(G649&gt;=19,G649&lt;=24),"晚",AND(G649&lt;=5),"晚")</f>
        <v>晚</v>
      </c>
    </row>
    <row r="650" spans="1:8" x14ac:dyDescent="0.3">
      <c r="A650" s="2">
        <v>45219</v>
      </c>
      <c r="B650">
        <v>20.098226621593351</v>
      </c>
      <c r="C650">
        <v>30.00601524323422</v>
      </c>
      <c r="D650">
        <v>805.6383265030488</v>
      </c>
      <c r="E650">
        <v>1.4178667897991939</v>
      </c>
      <c r="F650">
        <v>0.41887982097595639</v>
      </c>
      <c r="G650">
        <f t="shared" si="10"/>
        <v>0</v>
      </c>
      <c r="H650" t="str" cm="1">
        <f t="array" ref="H650">_xlfn.IFS(AND(G650&gt;=6,G650&lt;=12),"上",AND(G650&gt;=13,G650&lt;=18),"下",AND(G650&gt;=19,G650&lt;=24),"晚",AND(G650&lt;=5),"晚")</f>
        <v>晚</v>
      </c>
    </row>
    <row r="651" spans="1:8" x14ac:dyDescent="0.3">
      <c r="A651" s="2">
        <v>44966.791666666657</v>
      </c>
      <c r="B651">
        <v>28.731311324511271</v>
      </c>
      <c r="C651">
        <v>34.601123184309337</v>
      </c>
      <c r="D651">
        <v>104.646471436754</v>
      </c>
      <c r="E651">
        <v>1.44573718175887</v>
      </c>
      <c r="F651">
        <v>0.53774655148267292</v>
      </c>
      <c r="G651">
        <f t="shared" si="10"/>
        <v>19</v>
      </c>
      <c r="H651" t="str" cm="1">
        <f t="array" ref="H651">_xlfn.IFS(AND(G651&gt;=6,G651&lt;=12),"上",AND(G651&gt;=13,G651&lt;=18),"下",AND(G651&gt;=19,G651&lt;=24),"晚",AND(G651&lt;=5),"晚")</f>
        <v>晚</v>
      </c>
    </row>
    <row r="652" spans="1:8" x14ac:dyDescent="0.3">
      <c r="A652" s="2">
        <v>45257.208333333343</v>
      </c>
      <c r="B652">
        <v>21.064975391480171</v>
      </c>
      <c r="C652">
        <v>44.733730574712581</v>
      </c>
      <c r="D652">
        <v>638.79804957837393</v>
      </c>
      <c r="E652">
        <v>4.7091411664469067</v>
      </c>
      <c r="F652">
        <v>0.62937621192222315</v>
      </c>
      <c r="G652">
        <f t="shared" si="10"/>
        <v>5</v>
      </c>
      <c r="H652" t="str" cm="1">
        <f t="array" ref="H652">_xlfn.IFS(AND(G652&gt;=6,G652&lt;=12),"上",AND(G652&gt;=13,G652&lt;=18),"下",AND(G652&gt;=19,G652&lt;=24),"晚",AND(G652&lt;=5),"晚")</f>
        <v>晚</v>
      </c>
    </row>
    <row r="653" spans="1:8" x14ac:dyDescent="0.3">
      <c r="A653" s="2">
        <v>45142.5</v>
      </c>
      <c r="B653">
        <v>21.25700954548585</v>
      </c>
      <c r="C653">
        <v>45.906288023826988</v>
      </c>
      <c r="D653">
        <v>126.77054560887601</v>
      </c>
      <c r="E653">
        <v>1.8742229545377971</v>
      </c>
      <c r="F653">
        <v>0.50583351000465204</v>
      </c>
      <c r="G653">
        <f t="shared" si="10"/>
        <v>12</v>
      </c>
      <c r="H653" t="str" cm="1">
        <f t="array" ref="H653">_xlfn.IFS(AND(G653&gt;=6,G653&lt;=12),"上",AND(G653&gt;=13,G653&lt;=18),"下",AND(G653&gt;=19,G653&lt;=24),"晚",AND(G653&lt;=5),"晚")</f>
        <v>上</v>
      </c>
    </row>
    <row r="654" spans="1:8" x14ac:dyDescent="0.3">
      <c r="A654" s="2">
        <v>45198.5</v>
      </c>
      <c r="B654">
        <v>21.662288643418961</v>
      </c>
      <c r="C654">
        <v>63.350315228240049</v>
      </c>
      <c r="D654">
        <v>851.9096669819213</v>
      </c>
      <c r="E654">
        <v>2.0811245807504881</v>
      </c>
      <c r="F654">
        <v>1.254092746949045</v>
      </c>
      <c r="G654">
        <f t="shared" si="10"/>
        <v>12</v>
      </c>
      <c r="H654" t="str" cm="1">
        <f t="array" ref="H654">_xlfn.IFS(AND(G654&gt;=6,G654&lt;=12),"上",AND(G654&gt;=13,G654&lt;=18),"下",AND(G654&gt;=19,G654&lt;=24),"晚",AND(G654&lt;=5),"晚")</f>
        <v>上</v>
      </c>
    </row>
    <row r="655" spans="1:8" x14ac:dyDescent="0.3">
      <c r="A655" s="2">
        <v>45075.916666666657</v>
      </c>
      <c r="B655">
        <v>21.483430094763431</v>
      </c>
      <c r="C655">
        <v>50.391299933161143</v>
      </c>
      <c r="D655">
        <v>316.03542407188809</v>
      </c>
      <c r="E655">
        <v>3.228968951277519</v>
      </c>
      <c r="F655">
        <v>1.071120292396341</v>
      </c>
      <c r="G655">
        <f t="shared" si="10"/>
        <v>22</v>
      </c>
      <c r="H655" t="str" cm="1">
        <f t="array" ref="H655">_xlfn.IFS(AND(G655&gt;=6,G655&lt;=12),"上",AND(G655&gt;=13,G655&lt;=18),"下",AND(G655&gt;=19,G655&lt;=24),"晚",AND(G655&lt;=5),"晚")</f>
        <v>晚</v>
      </c>
    </row>
    <row r="656" spans="1:8" x14ac:dyDescent="0.3">
      <c r="A656" s="2">
        <v>45199.583333333343</v>
      </c>
      <c r="B656">
        <v>27.947790517461321</v>
      </c>
      <c r="C656">
        <v>66.718581362094966</v>
      </c>
      <c r="D656">
        <v>399.8181025280191</v>
      </c>
      <c r="E656">
        <v>2.9474478763849681</v>
      </c>
      <c r="F656">
        <v>1.3363045238413209</v>
      </c>
      <c r="G656">
        <f t="shared" si="10"/>
        <v>14</v>
      </c>
      <c r="H656" t="str" cm="1">
        <f t="array" ref="H656">_xlfn.IFS(AND(G656&gt;=6,G656&lt;=12),"上",AND(G656&gt;=13,G656&lt;=18),"下",AND(G656&gt;=19,G656&lt;=24),"晚",AND(G656&lt;=5),"晚")</f>
        <v>下</v>
      </c>
    </row>
    <row r="657" spans="1:8" x14ac:dyDescent="0.3">
      <c r="A657" s="2">
        <v>45250.375</v>
      </c>
      <c r="B657">
        <v>28.109813644624531</v>
      </c>
      <c r="C657">
        <v>46.98790822767846</v>
      </c>
      <c r="D657">
        <v>309.647275511972</v>
      </c>
      <c r="E657">
        <v>3.2229313380740048</v>
      </c>
      <c r="F657">
        <v>1.31989160939413</v>
      </c>
      <c r="G657">
        <f t="shared" si="10"/>
        <v>9</v>
      </c>
      <c r="H657" t="str" cm="1">
        <f t="array" ref="H657">_xlfn.IFS(AND(G657&gt;=6,G657&lt;=12),"上",AND(G657&gt;=13,G657&lt;=18),"下",AND(G657&gt;=19,G657&lt;=24),"晚",AND(G657&lt;=5),"晚")</f>
        <v>上</v>
      </c>
    </row>
    <row r="658" spans="1:8" x14ac:dyDescent="0.3">
      <c r="A658" s="2">
        <v>45088.708333333343</v>
      </c>
      <c r="B658">
        <v>21.694679865670899</v>
      </c>
      <c r="C658">
        <v>32.678554104652143</v>
      </c>
      <c r="D658">
        <v>880.99563414318709</v>
      </c>
      <c r="E658">
        <v>2.4617165401598751</v>
      </c>
      <c r="F658">
        <v>1.724795936750076</v>
      </c>
      <c r="G658">
        <f t="shared" si="10"/>
        <v>17</v>
      </c>
      <c r="H658" t="str" cm="1">
        <f t="array" ref="H658">_xlfn.IFS(AND(G658&gt;=6,G658&lt;=12),"上",AND(G658&gt;=13,G658&lt;=18),"下",AND(G658&gt;=19,G658&lt;=24),"晚",AND(G658&lt;=5),"晚")</f>
        <v>下</v>
      </c>
    </row>
    <row r="659" spans="1:8" x14ac:dyDescent="0.3">
      <c r="A659" s="2">
        <v>44927.791666666657</v>
      </c>
      <c r="B659">
        <v>21.125176206666229</v>
      </c>
      <c r="C659">
        <v>48.318481788818623</v>
      </c>
      <c r="D659">
        <v>370.61604633737988</v>
      </c>
      <c r="E659">
        <v>2.6208610633260738</v>
      </c>
      <c r="F659">
        <v>0.1697806438117983</v>
      </c>
      <c r="G659">
        <f t="shared" si="10"/>
        <v>19</v>
      </c>
      <c r="H659" t="str" cm="1">
        <f t="array" ref="H659">_xlfn.IFS(AND(G659&gt;=6,G659&lt;=12),"上",AND(G659&gt;=13,G659&lt;=18),"下",AND(G659&gt;=19,G659&lt;=24),"晚",AND(G659&lt;=5),"晚")</f>
        <v>晚</v>
      </c>
    </row>
    <row r="660" spans="1:8" x14ac:dyDescent="0.3">
      <c r="A660" s="2">
        <v>45110.5</v>
      </c>
      <c r="B660">
        <v>25.72480630085477</v>
      </c>
      <c r="C660">
        <v>46.440351348594547</v>
      </c>
      <c r="D660">
        <v>767.90918966762035</v>
      </c>
      <c r="E660">
        <v>1.675195493928384</v>
      </c>
      <c r="F660">
        <v>1.159652154127838</v>
      </c>
      <c r="G660">
        <f t="shared" si="10"/>
        <v>12</v>
      </c>
      <c r="H660" t="str" cm="1">
        <f t="array" ref="H660">_xlfn.IFS(AND(G660&gt;=6,G660&lt;=12),"上",AND(G660&gt;=13,G660&lt;=18),"下",AND(G660&gt;=19,G660&lt;=24),"晚",AND(G660&lt;=5),"晚")</f>
        <v>上</v>
      </c>
    </row>
    <row r="661" spans="1:8" x14ac:dyDescent="0.3">
      <c r="A661" s="2">
        <v>45168.458333333343</v>
      </c>
      <c r="B661">
        <v>26.99706957356668</v>
      </c>
      <c r="C661">
        <v>51.978290076695899</v>
      </c>
      <c r="D661">
        <v>651.67180814720507</v>
      </c>
      <c r="E661">
        <v>2.988068472579104</v>
      </c>
      <c r="F661">
        <v>0.83328902074805555</v>
      </c>
      <c r="G661">
        <f t="shared" si="10"/>
        <v>11</v>
      </c>
      <c r="H661" t="str" cm="1">
        <f t="array" ref="H661">_xlfn.IFS(AND(G661&gt;=6,G661&lt;=12),"上",AND(G661&gt;=13,G661&lt;=18),"下",AND(G661&gt;=19,G661&lt;=24),"晚",AND(G661&lt;=5),"晚")</f>
        <v>上</v>
      </c>
    </row>
    <row r="662" spans="1:8" x14ac:dyDescent="0.3">
      <c r="A662" s="2">
        <v>45114.875</v>
      </c>
      <c r="B662">
        <v>25.590398575042428</v>
      </c>
      <c r="C662">
        <v>55.593166158236968</v>
      </c>
      <c r="D662">
        <v>876.44933583246279</v>
      </c>
      <c r="E662">
        <v>2.6918244730540319</v>
      </c>
      <c r="F662">
        <v>1.599602863787658</v>
      </c>
      <c r="G662">
        <f t="shared" si="10"/>
        <v>21</v>
      </c>
      <c r="H662" t="str" cm="1">
        <f t="array" ref="H662">_xlfn.IFS(AND(G662&gt;=6,G662&lt;=12),"上",AND(G662&gt;=13,G662&lt;=18),"下",AND(G662&gt;=19,G662&lt;=24),"晚",AND(G662&lt;=5),"晚")</f>
        <v>晚</v>
      </c>
    </row>
    <row r="663" spans="1:8" x14ac:dyDescent="0.3">
      <c r="A663" s="2">
        <v>45017.041666666657</v>
      </c>
      <c r="B663">
        <v>20.276898664810709</v>
      </c>
      <c r="C663">
        <v>32.356178817690669</v>
      </c>
      <c r="D663">
        <v>277.98502666328187</v>
      </c>
      <c r="E663">
        <v>4.7603349837557456</v>
      </c>
      <c r="F663">
        <v>0.5342540215725079</v>
      </c>
      <c r="G663">
        <f t="shared" si="10"/>
        <v>1</v>
      </c>
      <c r="H663" t="str" cm="1">
        <f t="array" ref="H663">_xlfn.IFS(AND(G663&gt;=6,G663&lt;=12),"上",AND(G663&gt;=13,G663&lt;=18),"下",AND(G663&gt;=19,G663&lt;=24),"晚",AND(G663&lt;=5),"晚")</f>
        <v>晚</v>
      </c>
    </row>
    <row r="664" spans="1:8" x14ac:dyDescent="0.3">
      <c r="A664" s="2">
        <v>45289.416666666657</v>
      </c>
      <c r="B664">
        <v>27.66088252501201</v>
      </c>
      <c r="C664">
        <v>54.701177306338082</v>
      </c>
      <c r="D664">
        <v>565.49942109397966</v>
      </c>
      <c r="E664">
        <v>1.519148924008171</v>
      </c>
      <c r="F664">
        <v>1.2570082660350961</v>
      </c>
      <c r="G664">
        <f t="shared" si="10"/>
        <v>10</v>
      </c>
      <c r="H664" t="str" cm="1">
        <f t="array" ref="H664">_xlfn.IFS(AND(G664&gt;=6,G664&lt;=12),"上",AND(G664&gt;=13,G664&lt;=18),"下",AND(G664&gt;=19,G664&lt;=24),"晚",AND(G664&lt;=5),"晚")</f>
        <v>上</v>
      </c>
    </row>
    <row r="665" spans="1:8" x14ac:dyDescent="0.3">
      <c r="A665" s="2">
        <v>45056</v>
      </c>
      <c r="B665">
        <v>27.141902159345911</v>
      </c>
      <c r="C665">
        <v>35.290946812237578</v>
      </c>
      <c r="D665">
        <v>850.30318567423137</v>
      </c>
      <c r="E665">
        <v>3.4629617217308519</v>
      </c>
      <c r="F665">
        <v>0.61222750564364392</v>
      </c>
      <c r="G665">
        <f t="shared" si="10"/>
        <v>0</v>
      </c>
      <c r="H665" t="str" cm="1">
        <f t="array" ref="H665">_xlfn.IFS(AND(G665&gt;=6,G665&lt;=12),"上",AND(G665&gt;=13,G665&lt;=18),"下",AND(G665&gt;=19,G665&lt;=24),"晚",AND(G665&lt;=5),"晚")</f>
        <v>晚</v>
      </c>
    </row>
    <row r="666" spans="1:8" x14ac:dyDescent="0.3">
      <c r="A666" s="2">
        <v>45267.958333333343</v>
      </c>
      <c r="B666">
        <v>27.1725957519992</v>
      </c>
      <c r="C666">
        <v>47.2725273551398</v>
      </c>
      <c r="D666">
        <v>649.53822957960369</v>
      </c>
      <c r="E666">
        <v>4.86610419334691</v>
      </c>
      <c r="F666">
        <v>0.54587525117791369</v>
      </c>
      <c r="G666">
        <f t="shared" si="10"/>
        <v>23</v>
      </c>
      <c r="H666" t="str" cm="1">
        <f t="array" ref="H666">_xlfn.IFS(AND(G666&gt;=6,G666&lt;=12),"上",AND(G666&gt;=13,G666&lt;=18),"下",AND(G666&gt;=19,G666&lt;=24),"晚",AND(G666&lt;=5),"晚")</f>
        <v>晚</v>
      </c>
    </row>
    <row r="667" spans="1:8" x14ac:dyDescent="0.3">
      <c r="A667" s="2">
        <v>44949.708333333343</v>
      </c>
      <c r="B667">
        <v>22.072132289739059</v>
      </c>
      <c r="C667">
        <v>65.693206923061382</v>
      </c>
      <c r="D667">
        <v>111.0293225646793</v>
      </c>
      <c r="E667">
        <v>1.3918470961010561</v>
      </c>
      <c r="F667">
        <v>0.72289027162050401</v>
      </c>
      <c r="G667">
        <f t="shared" si="10"/>
        <v>17</v>
      </c>
      <c r="H667" t="str" cm="1">
        <f t="array" ref="H667">_xlfn.IFS(AND(G667&gt;=6,G667&lt;=12),"上",AND(G667&gt;=13,G667&lt;=18),"下",AND(G667&gt;=19,G667&lt;=24),"晚",AND(G667&lt;=5),"晚")</f>
        <v>下</v>
      </c>
    </row>
    <row r="668" spans="1:8" x14ac:dyDescent="0.3">
      <c r="A668" s="2">
        <v>45168.708333333343</v>
      </c>
      <c r="B668">
        <v>20.702827076886638</v>
      </c>
      <c r="C668">
        <v>35.353461122819837</v>
      </c>
      <c r="D668">
        <v>328.20768342730969</v>
      </c>
      <c r="E668">
        <v>3.884474115680197</v>
      </c>
      <c r="F668">
        <v>0.2207939091663125</v>
      </c>
      <c r="G668">
        <f t="shared" si="10"/>
        <v>17</v>
      </c>
      <c r="H668" t="str" cm="1">
        <f t="array" ref="H668">_xlfn.IFS(AND(G668&gt;=6,G668&lt;=12),"上",AND(G668&gt;=13,G668&lt;=18),"下",AND(G668&gt;=19,G668&lt;=24),"晚",AND(G668&lt;=5),"晚")</f>
        <v>下</v>
      </c>
    </row>
    <row r="669" spans="1:8" x14ac:dyDescent="0.3">
      <c r="A669" s="2">
        <v>45106.791666666657</v>
      </c>
      <c r="B669">
        <v>29.972844230304169</v>
      </c>
      <c r="C669">
        <v>38.350380264357291</v>
      </c>
      <c r="D669">
        <v>715.91288706755745</v>
      </c>
      <c r="E669">
        <v>4.4620641430500294</v>
      </c>
      <c r="F669">
        <v>1.518133832956303</v>
      </c>
      <c r="G669">
        <f t="shared" si="10"/>
        <v>19</v>
      </c>
      <c r="H669" t="str" cm="1">
        <f t="array" ref="H669">_xlfn.IFS(AND(G669&gt;=6,G669&lt;=12),"上",AND(G669&gt;=13,G669&lt;=18),"下",AND(G669&gt;=19,G669&lt;=24),"晚",AND(G669&lt;=5),"晚")</f>
        <v>晚</v>
      </c>
    </row>
    <row r="670" spans="1:8" x14ac:dyDescent="0.3">
      <c r="A670" s="2">
        <v>45090.541666666657</v>
      </c>
      <c r="B670">
        <v>24.77797232585079</v>
      </c>
      <c r="C670">
        <v>46.920750536731717</v>
      </c>
      <c r="D670">
        <v>650.43019537218345</v>
      </c>
      <c r="E670">
        <v>2.3289319263932962</v>
      </c>
      <c r="F670">
        <v>1.7744891148941619</v>
      </c>
      <c r="G670">
        <f t="shared" si="10"/>
        <v>13</v>
      </c>
      <c r="H670" t="str" cm="1">
        <f t="array" ref="H670">_xlfn.IFS(AND(G670&gt;=6,G670&lt;=12),"上",AND(G670&gt;=13,G670&lt;=18),"下",AND(G670&gt;=19,G670&lt;=24),"晚",AND(G670&lt;=5),"晚")</f>
        <v>下</v>
      </c>
    </row>
    <row r="671" spans="1:8" x14ac:dyDescent="0.3">
      <c r="A671" s="2">
        <v>45073.958333333343</v>
      </c>
      <c r="B671">
        <v>27.262427424605921</v>
      </c>
      <c r="C671">
        <v>32.415754849973588</v>
      </c>
      <c r="D671">
        <v>906.83436269667641</v>
      </c>
      <c r="E671">
        <v>3.277453711007015</v>
      </c>
      <c r="F671">
        <v>0.13227170805814259</v>
      </c>
      <c r="G671">
        <f t="shared" si="10"/>
        <v>23</v>
      </c>
      <c r="H671" t="str" cm="1">
        <f t="array" ref="H671">_xlfn.IFS(AND(G671&gt;=6,G671&lt;=12),"上",AND(G671&gt;=13,G671&lt;=18),"下",AND(G671&gt;=19,G671&lt;=24),"晚",AND(G671&lt;=5),"晚")</f>
        <v>晚</v>
      </c>
    </row>
    <row r="672" spans="1:8" x14ac:dyDescent="0.3">
      <c r="A672" s="2">
        <v>45002.25</v>
      </c>
      <c r="B672">
        <v>20.964173784120611</v>
      </c>
      <c r="C672">
        <v>41.451064556655787</v>
      </c>
      <c r="D672">
        <v>932.96624967081698</v>
      </c>
      <c r="E672">
        <v>1.35852053810734</v>
      </c>
      <c r="F672">
        <v>1.3396405887678811</v>
      </c>
      <c r="G672">
        <f t="shared" si="10"/>
        <v>6</v>
      </c>
      <c r="H672" t="str" cm="1">
        <f t="array" ref="H672">_xlfn.IFS(AND(G672&gt;=6,G672&lt;=12),"上",AND(G672&gt;=13,G672&lt;=18),"下",AND(G672&gt;=19,G672&lt;=24),"晚",AND(G672&lt;=5),"晚")</f>
        <v>上</v>
      </c>
    </row>
    <row r="673" spans="1:8" x14ac:dyDescent="0.3">
      <c r="A673" s="2">
        <v>45248.916666666657</v>
      </c>
      <c r="B673">
        <v>25.04932263892491</v>
      </c>
      <c r="C673">
        <v>33.098765113034503</v>
      </c>
      <c r="D673">
        <v>820.2840105979119</v>
      </c>
      <c r="E673">
        <v>2.3482265937491249</v>
      </c>
      <c r="F673">
        <v>1.1695112595541099</v>
      </c>
      <c r="G673">
        <f t="shared" si="10"/>
        <v>22</v>
      </c>
      <c r="H673" t="str" cm="1">
        <f t="array" ref="H673">_xlfn.IFS(AND(G673&gt;=6,G673&lt;=12),"上",AND(G673&gt;=13,G673&lt;=18),"下",AND(G673&gt;=19,G673&lt;=24),"晚",AND(G673&lt;=5),"晚")</f>
        <v>晚</v>
      </c>
    </row>
    <row r="674" spans="1:8" x14ac:dyDescent="0.3">
      <c r="A674" s="2">
        <v>44942.458333333343</v>
      </c>
      <c r="B674">
        <v>25.040966585100229</v>
      </c>
      <c r="C674">
        <v>49.081744842951053</v>
      </c>
      <c r="D674">
        <v>265.27509774227661</v>
      </c>
      <c r="E674">
        <v>1.995325794042023</v>
      </c>
      <c r="F674">
        <v>1.8202484104136001</v>
      </c>
      <c r="G674">
        <f t="shared" si="10"/>
        <v>11</v>
      </c>
      <c r="H674" t="str" cm="1">
        <f t="array" ref="H674">_xlfn.IFS(AND(G674&gt;=6,G674&lt;=12),"上",AND(G674&gt;=13,G674&lt;=18),"下",AND(G674&gt;=19,G674&lt;=24),"晚",AND(G674&lt;=5),"晚")</f>
        <v>上</v>
      </c>
    </row>
    <row r="675" spans="1:8" x14ac:dyDescent="0.3">
      <c r="A675" s="2">
        <v>44973.5</v>
      </c>
      <c r="B675">
        <v>21.228580134152189</v>
      </c>
      <c r="C675">
        <v>52.935148993112563</v>
      </c>
      <c r="D675">
        <v>434.7964798805063</v>
      </c>
      <c r="E675">
        <v>3.741472111549184</v>
      </c>
      <c r="F675">
        <v>1.402184430796799</v>
      </c>
      <c r="G675">
        <f t="shared" si="10"/>
        <v>12</v>
      </c>
      <c r="H675" t="str" cm="1">
        <f t="array" ref="H675">_xlfn.IFS(AND(G675&gt;=6,G675&lt;=12),"上",AND(G675&gt;=13,G675&lt;=18),"下",AND(G675&gt;=19,G675&lt;=24),"晚",AND(G675&lt;=5),"晚")</f>
        <v>上</v>
      </c>
    </row>
    <row r="676" spans="1:8" x14ac:dyDescent="0.3">
      <c r="A676" s="2">
        <v>44994.666666666657</v>
      </c>
      <c r="B676">
        <v>23.51607644732654</v>
      </c>
      <c r="C676">
        <v>59.971294220087778</v>
      </c>
      <c r="D676">
        <v>968.21704963611319</v>
      </c>
      <c r="E676">
        <v>1.2227511084322309</v>
      </c>
      <c r="F676">
        <v>0.89531145267543844</v>
      </c>
      <c r="G676">
        <f t="shared" si="10"/>
        <v>16</v>
      </c>
      <c r="H676" t="str" cm="1">
        <f t="array" ref="H676">_xlfn.IFS(AND(G676&gt;=6,G676&lt;=12),"上",AND(G676&gt;=13,G676&lt;=18),"下",AND(G676&gt;=19,G676&lt;=24),"晚",AND(G676&lt;=5),"晚")</f>
        <v>下</v>
      </c>
    </row>
    <row r="677" spans="1:8" x14ac:dyDescent="0.3">
      <c r="A677" s="2">
        <v>45122.083333333343</v>
      </c>
      <c r="B677">
        <v>28.914633385597071</v>
      </c>
      <c r="C677">
        <v>66.929575204801097</v>
      </c>
      <c r="D677">
        <v>535.44331227770226</v>
      </c>
      <c r="E677">
        <v>2.9329159874769499</v>
      </c>
      <c r="F677">
        <v>1.198572483651948</v>
      </c>
      <c r="G677">
        <f t="shared" si="10"/>
        <v>2</v>
      </c>
      <c r="H677" t="str" cm="1">
        <f t="array" ref="H677">_xlfn.IFS(AND(G677&gt;=6,G677&lt;=12),"上",AND(G677&gt;=13,G677&lt;=18),"下",AND(G677&gt;=19,G677&lt;=24),"晚",AND(G677&lt;=5),"晚")</f>
        <v>晚</v>
      </c>
    </row>
    <row r="678" spans="1:8" x14ac:dyDescent="0.3">
      <c r="A678" s="2">
        <v>45085.75</v>
      </c>
      <c r="B678">
        <v>26.90214926203641</v>
      </c>
      <c r="C678">
        <v>47.504835764799751</v>
      </c>
      <c r="D678">
        <v>400.59885049482091</v>
      </c>
      <c r="E678">
        <v>3.2153833629382409</v>
      </c>
      <c r="F678">
        <v>0.34170752020778489</v>
      </c>
      <c r="G678">
        <f t="shared" si="10"/>
        <v>18</v>
      </c>
      <c r="H678" t="str" cm="1">
        <f t="array" ref="H678">_xlfn.IFS(AND(G678&gt;=6,G678&lt;=12),"上",AND(G678&gt;=13,G678&lt;=18),"下",AND(G678&gt;=19,G678&lt;=24),"晚",AND(G678&lt;=5),"晚")</f>
        <v>下</v>
      </c>
    </row>
    <row r="679" spans="1:8" x14ac:dyDescent="0.3">
      <c r="A679" s="2">
        <v>44955.041666666657</v>
      </c>
      <c r="B679">
        <v>27.316707998695559</v>
      </c>
      <c r="C679">
        <v>55.112398065076121</v>
      </c>
      <c r="D679">
        <v>965.79769744589987</v>
      </c>
      <c r="E679">
        <v>4.7250185186464524</v>
      </c>
      <c r="F679">
        <v>0.4080852284467662</v>
      </c>
      <c r="G679">
        <f t="shared" si="10"/>
        <v>1</v>
      </c>
      <c r="H679" t="str" cm="1">
        <f t="array" ref="H679">_xlfn.IFS(AND(G679&gt;=6,G679&lt;=12),"上",AND(G679&gt;=13,G679&lt;=18),"下",AND(G679&gt;=19,G679&lt;=24),"晚",AND(G679&lt;=5),"晚")</f>
        <v>晚</v>
      </c>
    </row>
    <row r="680" spans="1:8" x14ac:dyDescent="0.3">
      <c r="A680" s="2">
        <v>45193.041666666657</v>
      </c>
      <c r="B680">
        <v>28.782887916325301</v>
      </c>
      <c r="C680">
        <v>32.402731635665774</v>
      </c>
      <c r="D680">
        <v>729.56730036592432</v>
      </c>
      <c r="E680">
        <v>4.6844887595947586</v>
      </c>
      <c r="F680">
        <v>0.52529019802863575</v>
      </c>
      <c r="G680">
        <f t="shared" si="10"/>
        <v>1</v>
      </c>
      <c r="H680" t="str" cm="1">
        <f t="array" ref="H680">_xlfn.IFS(AND(G680&gt;=6,G680&lt;=12),"上",AND(G680&gt;=13,G680&lt;=18),"下",AND(G680&gt;=19,G680&lt;=24),"晚",AND(G680&lt;=5),"晚")</f>
        <v>晚</v>
      </c>
    </row>
    <row r="681" spans="1:8" x14ac:dyDescent="0.3">
      <c r="A681" s="2">
        <v>45286.041666666657</v>
      </c>
      <c r="B681">
        <v>23.10285598925217</v>
      </c>
      <c r="C681">
        <v>49.012553132800321</v>
      </c>
      <c r="D681">
        <v>726.79828011030816</v>
      </c>
      <c r="E681">
        <v>1.026372269210611</v>
      </c>
      <c r="F681">
        <v>1.017871178906165</v>
      </c>
      <c r="G681">
        <f t="shared" si="10"/>
        <v>1</v>
      </c>
      <c r="H681" t="str" cm="1">
        <f t="array" ref="H681">_xlfn.IFS(AND(G681&gt;=6,G681&lt;=12),"上",AND(G681&gt;=13,G681&lt;=18),"下",AND(G681&gt;=19,G681&lt;=24),"晚",AND(G681&lt;=5),"晚")</f>
        <v>晚</v>
      </c>
    </row>
    <row r="682" spans="1:8" x14ac:dyDescent="0.3">
      <c r="A682" s="2">
        <v>44939</v>
      </c>
      <c r="B682">
        <v>27.899447026679759</v>
      </c>
      <c r="C682">
        <v>64.800294518387929</v>
      </c>
      <c r="D682">
        <v>471.12811535833191</v>
      </c>
      <c r="E682">
        <v>3.3241241398097112</v>
      </c>
      <c r="F682">
        <v>0.60696581032116637</v>
      </c>
      <c r="G682">
        <f t="shared" si="10"/>
        <v>0</v>
      </c>
      <c r="H682" t="str" cm="1">
        <f t="array" ref="H682">_xlfn.IFS(AND(G682&gt;=6,G682&lt;=12),"上",AND(G682&gt;=13,G682&lt;=18),"下",AND(G682&gt;=19,G682&lt;=24),"晚",AND(G682&lt;=5),"晚")</f>
        <v>晚</v>
      </c>
    </row>
    <row r="683" spans="1:8" x14ac:dyDescent="0.3">
      <c r="A683" s="2">
        <v>45181.541666666657</v>
      </c>
      <c r="B683">
        <v>20.96538722537251</v>
      </c>
      <c r="C683">
        <v>53.691147483302629</v>
      </c>
      <c r="D683">
        <v>184.16133739738549</v>
      </c>
      <c r="E683">
        <v>2.5991528460443551</v>
      </c>
      <c r="F683">
        <v>0.2910343383344407</v>
      </c>
      <c r="G683">
        <f t="shared" si="10"/>
        <v>13</v>
      </c>
      <c r="H683" t="str" cm="1">
        <f t="array" ref="H683">_xlfn.IFS(AND(G683&gt;=6,G683&lt;=12),"上",AND(G683&gt;=13,G683&lt;=18),"下",AND(G683&gt;=19,G683&lt;=24),"晚",AND(G683&lt;=5),"晚")</f>
        <v>下</v>
      </c>
    </row>
    <row r="684" spans="1:8" x14ac:dyDescent="0.3">
      <c r="A684" s="2">
        <v>45045.875</v>
      </c>
      <c r="B684">
        <v>25.775487318533202</v>
      </c>
      <c r="C684">
        <v>45.004056519929321</v>
      </c>
      <c r="D684">
        <v>985.14596114071981</v>
      </c>
      <c r="E684">
        <v>3.1450244959766058</v>
      </c>
      <c r="F684">
        <v>1.0851660476301319</v>
      </c>
      <c r="G684">
        <f t="shared" si="10"/>
        <v>21</v>
      </c>
      <c r="H684" t="str" cm="1">
        <f t="array" ref="H684">_xlfn.IFS(AND(G684&gt;=6,G684&lt;=12),"上",AND(G684&gt;=13,G684&lt;=18),"下",AND(G684&gt;=19,G684&lt;=24),"晚",AND(G684&lt;=5),"晚")</f>
        <v>晚</v>
      </c>
    </row>
    <row r="685" spans="1:8" x14ac:dyDescent="0.3">
      <c r="A685" s="2">
        <v>45238.791666666657</v>
      </c>
      <c r="B685">
        <v>25.34148076342656</v>
      </c>
      <c r="C685">
        <v>33.569850813872883</v>
      </c>
      <c r="D685">
        <v>176.32079168158111</v>
      </c>
      <c r="E685">
        <v>3.598400249924838</v>
      </c>
      <c r="F685">
        <v>1.4258765649512311</v>
      </c>
      <c r="G685">
        <f t="shared" si="10"/>
        <v>19</v>
      </c>
      <c r="H685" t="str" cm="1">
        <f t="array" ref="H685">_xlfn.IFS(AND(G685&gt;=6,G685&lt;=12),"上",AND(G685&gt;=13,G685&lt;=18),"下",AND(G685&gt;=19,G685&lt;=24),"晚",AND(G685&lt;=5),"晚")</f>
        <v>晚</v>
      </c>
    </row>
    <row r="686" spans="1:8" x14ac:dyDescent="0.3">
      <c r="A686" s="2">
        <v>45009.125</v>
      </c>
      <c r="B686">
        <v>24.31192200120395</v>
      </c>
      <c r="C686">
        <v>49.94343515459785</v>
      </c>
      <c r="D686">
        <v>699.37193629880312</v>
      </c>
      <c r="E686">
        <v>2.097506933859961</v>
      </c>
      <c r="F686">
        <v>0.28323425649487372</v>
      </c>
      <c r="G686">
        <f t="shared" si="10"/>
        <v>3</v>
      </c>
      <c r="H686" t="str" cm="1">
        <f t="array" ref="H686">_xlfn.IFS(AND(G686&gt;=6,G686&lt;=12),"上",AND(G686&gt;=13,G686&lt;=18),"下",AND(G686&gt;=19,G686&lt;=24),"晚",AND(G686&lt;=5),"晚")</f>
        <v>晚</v>
      </c>
    </row>
    <row r="687" spans="1:8" x14ac:dyDescent="0.3">
      <c r="A687" s="2">
        <v>44959.333333333343</v>
      </c>
      <c r="B687">
        <v>22.091691554235581</v>
      </c>
      <c r="C687">
        <v>66.748132693493844</v>
      </c>
      <c r="D687">
        <v>145.99835104214571</v>
      </c>
      <c r="E687">
        <v>4.044602998553759</v>
      </c>
      <c r="F687">
        <v>1.485010356984132</v>
      </c>
      <c r="G687">
        <f t="shared" si="10"/>
        <v>8</v>
      </c>
      <c r="H687" t="str" cm="1">
        <f t="array" ref="H687">_xlfn.IFS(AND(G687&gt;=6,G687&lt;=12),"上",AND(G687&gt;=13,G687&lt;=18),"下",AND(G687&gt;=19,G687&lt;=24),"晚",AND(G687&lt;=5),"晚")</f>
        <v>上</v>
      </c>
    </row>
    <row r="688" spans="1:8" x14ac:dyDescent="0.3">
      <c r="A688" s="2">
        <v>44992.791666666657</v>
      </c>
      <c r="B688">
        <v>24.275265143497439</v>
      </c>
      <c r="C688">
        <v>32.955769126637207</v>
      </c>
      <c r="D688">
        <v>112.8906526734864</v>
      </c>
      <c r="E688">
        <v>4.6820780346081214</v>
      </c>
      <c r="F688">
        <v>0.1449695186525721</v>
      </c>
      <c r="G688">
        <f t="shared" si="10"/>
        <v>19</v>
      </c>
      <c r="H688" t="str" cm="1">
        <f t="array" ref="H688">_xlfn.IFS(AND(G688&gt;=6,G688&lt;=12),"上",AND(G688&gt;=13,G688&lt;=18),"下",AND(G688&gt;=19,G688&lt;=24),"晚",AND(G688&lt;=5),"晚")</f>
        <v>晚</v>
      </c>
    </row>
    <row r="689" spans="1:8" x14ac:dyDescent="0.3">
      <c r="A689" s="2">
        <v>44951</v>
      </c>
      <c r="B689">
        <v>28.44283139445638</v>
      </c>
      <c r="C689">
        <v>51.234856760987348</v>
      </c>
      <c r="D689">
        <v>108.9445467071792</v>
      </c>
      <c r="E689">
        <v>4.5551443062504342</v>
      </c>
      <c r="F689">
        <v>1.427987184496329</v>
      </c>
      <c r="G689">
        <f t="shared" si="10"/>
        <v>0</v>
      </c>
      <c r="H689" t="str" cm="1">
        <f t="array" ref="H689">_xlfn.IFS(AND(G689&gt;=6,G689&lt;=12),"上",AND(G689&gt;=13,G689&lt;=18),"下",AND(G689&gt;=19,G689&lt;=24),"晚",AND(G689&lt;=5),"晚")</f>
        <v>晚</v>
      </c>
    </row>
    <row r="690" spans="1:8" x14ac:dyDescent="0.3">
      <c r="A690" s="2">
        <v>45192.583333333343</v>
      </c>
      <c r="B690">
        <v>27.30703374088618</v>
      </c>
      <c r="C690">
        <v>47.052931418951808</v>
      </c>
      <c r="D690">
        <v>948.19104529041499</v>
      </c>
      <c r="E690">
        <v>4.0213713605269756</v>
      </c>
      <c r="F690">
        <v>1.9108619842842041</v>
      </c>
      <c r="G690">
        <f t="shared" si="10"/>
        <v>14</v>
      </c>
      <c r="H690" t="str" cm="1">
        <f t="array" ref="H690">_xlfn.IFS(AND(G690&gt;=6,G690&lt;=12),"上",AND(G690&gt;=13,G690&lt;=18),"下",AND(G690&gt;=19,G690&lt;=24),"晚",AND(G690&lt;=5),"晚")</f>
        <v>下</v>
      </c>
    </row>
    <row r="691" spans="1:8" x14ac:dyDescent="0.3">
      <c r="A691" s="2">
        <v>45244.833333333343</v>
      </c>
      <c r="B691">
        <v>24.406032328429148</v>
      </c>
      <c r="C691">
        <v>60.378554376172737</v>
      </c>
      <c r="D691">
        <v>515.9458108604847</v>
      </c>
      <c r="E691">
        <v>3.0978263365507752</v>
      </c>
      <c r="F691">
        <v>0.96785703521407118</v>
      </c>
      <c r="G691">
        <f t="shared" si="10"/>
        <v>20</v>
      </c>
      <c r="H691" t="str" cm="1">
        <f t="array" ref="H691">_xlfn.IFS(AND(G691&gt;=6,G691&lt;=12),"上",AND(G691&gt;=13,G691&lt;=18),"下",AND(G691&gt;=19,G691&lt;=24),"晚",AND(G691&lt;=5),"晚")</f>
        <v>晚</v>
      </c>
    </row>
    <row r="692" spans="1:8" x14ac:dyDescent="0.3">
      <c r="A692" s="2">
        <v>45183.958333333343</v>
      </c>
      <c r="B692">
        <v>29.67588680957023</v>
      </c>
      <c r="C692">
        <v>36.046019057813211</v>
      </c>
      <c r="D692">
        <v>641.8267502693385</v>
      </c>
      <c r="E692">
        <v>2.9407701206160062</v>
      </c>
      <c r="F692">
        <v>0.22519243899558419</v>
      </c>
      <c r="G692">
        <f t="shared" si="10"/>
        <v>23</v>
      </c>
      <c r="H692" t="str" cm="1">
        <f t="array" ref="H692">_xlfn.IFS(AND(G692&gt;=6,G692&lt;=12),"上",AND(G692&gt;=13,G692&lt;=18),"下",AND(G692&gt;=19,G692&lt;=24),"晚",AND(G692&lt;=5),"晚")</f>
        <v>晚</v>
      </c>
    </row>
    <row r="693" spans="1:8" x14ac:dyDescent="0.3">
      <c r="A693" s="2">
        <v>45125.5</v>
      </c>
      <c r="B693">
        <v>27.852919157053378</v>
      </c>
      <c r="C693">
        <v>36.847811094463268</v>
      </c>
      <c r="D693">
        <v>227.1886634884801</v>
      </c>
      <c r="E693">
        <v>3.9799945474327321</v>
      </c>
      <c r="F693">
        <v>0.63709591148530165</v>
      </c>
      <c r="G693">
        <f t="shared" si="10"/>
        <v>12</v>
      </c>
      <c r="H693" t="str" cm="1">
        <f t="array" ref="H693">_xlfn.IFS(AND(G693&gt;=6,G693&lt;=12),"上",AND(G693&gt;=13,G693&lt;=18),"下",AND(G693&gt;=19,G693&lt;=24),"晚",AND(G693&lt;=5),"晚")</f>
        <v>上</v>
      </c>
    </row>
    <row r="694" spans="1:8" x14ac:dyDescent="0.3">
      <c r="A694" s="2">
        <v>45050.166666666657</v>
      </c>
      <c r="B694">
        <v>20.44260617815986</v>
      </c>
      <c r="C694">
        <v>58.640174051851503</v>
      </c>
      <c r="D694">
        <v>538.95958272480254</v>
      </c>
      <c r="E694">
        <v>4.0909204639806447</v>
      </c>
      <c r="F694">
        <v>0.38027624526723652</v>
      </c>
      <c r="G694">
        <f t="shared" si="10"/>
        <v>4</v>
      </c>
      <c r="H694" t="str" cm="1">
        <f t="array" ref="H694">_xlfn.IFS(AND(G694&gt;=6,G694&lt;=12),"上",AND(G694&gt;=13,G694&lt;=18),"下",AND(G694&gt;=19,G694&lt;=24),"晚",AND(G694&lt;=5),"晚")</f>
        <v>晚</v>
      </c>
    </row>
    <row r="695" spans="1:8" x14ac:dyDescent="0.3">
      <c r="A695" s="2">
        <v>45062.666666666657</v>
      </c>
      <c r="B695">
        <v>27.507365235749791</v>
      </c>
      <c r="C695">
        <v>57.198300538897882</v>
      </c>
      <c r="D695">
        <v>566.92304548009395</v>
      </c>
      <c r="E695">
        <v>1.0484775959533861</v>
      </c>
      <c r="F695">
        <v>1.0517794896934689</v>
      </c>
      <c r="G695">
        <f t="shared" si="10"/>
        <v>16</v>
      </c>
      <c r="H695" t="str" cm="1">
        <f t="array" ref="H695">_xlfn.IFS(AND(G695&gt;=6,G695&lt;=12),"上",AND(G695&gt;=13,G695&lt;=18),"下",AND(G695&gt;=19,G695&lt;=24),"晚",AND(G695&lt;=5),"晚")</f>
        <v>下</v>
      </c>
    </row>
    <row r="696" spans="1:8" x14ac:dyDescent="0.3">
      <c r="A696" s="2">
        <v>45157.208333333343</v>
      </c>
      <c r="B696">
        <v>27.185377796671681</v>
      </c>
      <c r="C696">
        <v>50.707311740650731</v>
      </c>
      <c r="D696">
        <v>237.3790986714672</v>
      </c>
      <c r="E696">
        <v>1.151311380898087</v>
      </c>
      <c r="F696">
        <v>0.44352654980786882</v>
      </c>
      <c r="G696">
        <f t="shared" si="10"/>
        <v>5</v>
      </c>
      <c r="H696" t="str" cm="1">
        <f t="array" ref="H696">_xlfn.IFS(AND(G696&gt;=6,G696&lt;=12),"上",AND(G696&gt;=13,G696&lt;=18),"下",AND(G696&gt;=19,G696&lt;=24),"晚",AND(G696&lt;=5),"晚")</f>
        <v>晚</v>
      </c>
    </row>
    <row r="697" spans="1:8" x14ac:dyDescent="0.3">
      <c r="A697" s="2">
        <v>45172.625</v>
      </c>
      <c r="B697">
        <v>20.492206551768831</v>
      </c>
      <c r="C697">
        <v>30.182322836511091</v>
      </c>
      <c r="D697">
        <v>512.22402264928951</v>
      </c>
      <c r="E697">
        <v>2.9102403872874878</v>
      </c>
      <c r="F697">
        <v>1.993125226559711</v>
      </c>
      <c r="G697">
        <f t="shared" si="10"/>
        <v>15</v>
      </c>
      <c r="H697" t="str" cm="1">
        <f t="array" ref="H697">_xlfn.IFS(AND(G697&gt;=6,G697&lt;=12),"上",AND(G697&gt;=13,G697&lt;=18),"下",AND(G697&gt;=19,G697&lt;=24),"晚",AND(G697&lt;=5),"晚")</f>
        <v>下</v>
      </c>
    </row>
    <row r="698" spans="1:8" x14ac:dyDescent="0.3">
      <c r="A698" s="2">
        <v>45200.583333333343</v>
      </c>
      <c r="B698">
        <v>29.265572656292239</v>
      </c>
      <c r="C698">
        <v>64.226591040609975</v>
      </c>
      <c r="D698">
        <v>897.86628756771779</v>
      </c>
      <c r="E698">
        <v>4.4654255978985367</v>
      </c>
      <c r="F698">
        <v>0.89717502771941837</v>
      </c>
      <c r="G698">
        <f t="shared" si="10"/>
        <v>14</v>
      </c>
      <c r="H698" t="str" cm="1">
        <f t="array" ref="H698">_xlfn.IFS(AND(G698&gt;=6,G698&lt;=12),"上",AND(G698&gt;=13,G698&lt;=18),"下",AND(G698&gt;=19,G698&lt;=24),"晚",AND(G698&lt;=5),"晚")</f>
        <v>下</v>
      </c>
    </row>
    <row r="699" spans="1:8" x14ac:dyDescent="0.3">
      <c r="A699" s="2">
        <v>45134.25</v>
      </c>
      <c r="B699">
        <v>24.670388632674179</v>
      </c>
      <c r="C699">
        <v>69.49590691709578</v>
      </c>
      <c r="D699">
        <v>617.67809742206839</v>
      </c>
      <c r="E699">
        <v>1.8600254195894199</v>
      </c>
      <c r="F699">
        <v>0.83594825512161186</v>
      </c>
      <c r="G699">
        <f t="shared" si="10"/>
        <v>6</v>
      </c>
      <c r="H699" t="str" cm="1">
        <f t="array" ref="H699">_xlfn.IFS(AND(G699&gt;=6,G699&lt;=12),"上",AND(G699&gt;=13,G699&lt;=18),"下",AND(G699&gt;=19,G699&lt;=24),"晚",AND(G699&lt;=5),"晚")</f>
        <v>上</v>
      </c>
    </row>
    <row r="700" spans="1:8" x14ac:dyDescent="0.3">
      <c r="A700" s="2">
        <v>45145.708333333343</v>
      </c>
      <c r="B700">
        <v>22.39127497952569</v>
      </c>
      <c r="C700">
        <v>56.697768296566061</v>
      </c>
      <c r="D700">
        <v>267.35801279846669</v>
      </c>
      <c r="E700">
        <v>1.574307056970818</v>
      </c>
      <c r="F700">
        <v>0.2219117645736817</v>
      </c>
      <c r="G700">
        <f t="shared" si="10"/>
        <v>17</v>
      </c>
      <c r="H700" t="str" cm="1">
        <f t="array" ref="H700">_xlfn.IFS(AND(G700&gt;=6,G700&lt;=12),"上",AND(G700&gt;=13,G700&lt;=18),"下",AND(G700&gt;=19,G700&lt;=24),"晚",AND(G700&lt;=5),"晚")</f>
        <v>下</v>
      </c>
    </row>
    <row r="701" spans="1:8" x14ac:dyDescent="0.3">
      <c r="A701" s="2">
        <v>44988.375</v>
      </c>
      <c r="B701">
        <v>24.482257909973011</v>
      </c>
      <c r="C701">
        <v>67.329117824582653</v>
      </c>
      <c r="D701">
        <v>959.78925608774193</v>
      </c>
      <c r="E701">
        <v>4.7326490061206723</v>
      </c>
      <c r="F701">
        <v>1.2373214145356199</v>
      </c>
      <c r="G701">
        <f t="shared" si="10"/>
        <v>9</v>
      </c>
      <c r="H701" t="str" cm="1">
        <f t="array" ref="H701">_xlfn.IFS(AND(G701&gt;=6,G701&lt;=12),"上",AND(G701&gt;=13,G701&lt;=18),"下",AND(G701&gt;=19,G701&lt;=24),"晚",AND(G701&lt;=5),"晚")</f>
        <v>上</v>
      </c>
    </row>
    <row r="702" spans="1:8" x14ac:dyDescent="0.3">
      <c r="A702" s="2">
        <v>45012.833333333343</v>
      </c>
      <c r="B702">
        <v>28.337804667900109</v>
      </c>
      <c r="C702">
        <v>60.312584118948678</v>
      </c>
      <c r="D702">
        <v>903.56260937328182</v>
      </c>
      <c r="E702">
        <v>4.5644493619379807</v>
      </c>
      <c r="F702">
        <v>0.33617631302586642</v>
      </c>
      <c r="G702">
        <f t="shared" si="10"/>
        <v>20</v>
      </c>
      <c r="H702" t="str" cm="1">
        <f t="array" ref="H702">_xlfn.IFS(AND(G702&gt;=6,G702&lt;=12),"上",AND(G702&gt;=13,G702&lt;=18),"下",AND(G702&gt;=19,G702&lt;=24),"晚",AND(G702&lt;=5),"晚")</f>
        <v>晚</v>
      </c>
    </row>
    <row r="703" spans="1:8" x14ac:dyDescent="0.3">
      <c r="A703" s="2">
        <v>45213.583333333343</v>
      </c>
      <c r="B703">
        <v>22.505058195726409</v>
      </c>
      <c r="C703">
        <v>57.366476928163678</v>
      </c>
      <c r="D703">
        <v>934.30610627408237</v>
      </c>
      <c r="E703">
        <v>2.0746971017818612</v>
      </c>
      <c r="F703">
        <v>0.59730878399407605</v>
      </c>
      <c r="G703">
        <f t="shared" si="10"/>
        <v>14</v>
      </c>
      <c r="H703" t="str" cm="1">
        <f t="array" ref="H703">_xlfn.IFS(AND(G703&gt;=6,G703&lt;=12),"上",AND(G703&gt;=13,G703&lt;=18),"下",AND(G703&gt;=19,G703&lt;=24),"晚",AND(G703&lt;=5),"晚")</f>
        <v>下</v>
      </c>
    </row>
    <row r="704" spans="1:8" x14ac:dyDescent="0.3">
      <c r="A704" s="2">
        <v>45118.541666666657</v>
      </c>
      <c r="B704">
        <v>29.14092793157263</v>
      </c>
      <c r="C704">
        <v>44.050539837428119</v>
      </c>
      <c r="D704">
        <v>802.82542565872643</v>
      </c>
      <c r="E704">
        <v>4.361139961428842</v>
      </c>
      <c r="F704">
        <v>0.66836457212934819</v>
      </c>
      <c r="G704">
        <f t="shared" si="10"/>
        <v>13</v>
      </c>
      <c r="H704" t="str" cm="1">
        <f t="array" ref="H704">_xlfn.IFS(AND(G704&gt;=6,G704&lt;=12),"上",AND(G704&gt;=13,G704&lt;=18),"下",AND(G704&gt;=19,G704&lt;=24),"晚",AND(G704&lt;=5),"晚")</f>
        <v>下</v>
      </c>
    </row>
    <row r="705" spans="1:8" x14ac:dyDescent="0.3">
      <c r="A705" s="2">
        <v>45017.416666666657</v>
      </c>
      <c r="B705">
        <v>20.647398087478361</v>
      </c>
      <c r="C705">
        <v>33.186386603995018</v>
      </c>
      <c r="D705">
        <v>605.22369523974976</v>
      </c>
      <c r="E705">
        <v>4.0280405428160169</v>
      </c>
      <c r="F705">
        <v>0.2864203844352905</v>
      </c>
      <c r="G705">
        <f t="shared" si="10"/>
        <v>10</v>
      </c>
      <c r="H705" t="str" cm="1">
        <f t="array" ref="H705">_xlfn.IFS(AND(G705&gt;=6,G705&lt;=12),"上",AND(G705&gt;=13,G705&lt;=18),"下",AND(G705&gt;=19,G705&lt;=24),"晚",AND(G705&lt;=5),"晚")</f>
        <v>上</v>
      </c>
    </row>
    <row r="706" spans="1:8" x14ac:dyDescent="0.3">
      <c r="A706" s="2">
        <v>45184.416666666657</v>
      </c>
      <c r="B706">
        <v>20.893570841799729</v>
      </c>
      <c r="C706">
        <v>31.286835635433871</v>
      </c>
      <c r="D706">
        <v>798.19110635437187</v>
      </c>
      <c r="E706">
        <v>4.9815641679665967</v>
      </c>
      <c r="F706">
        <v>1.6770262935822611</v>
      </c>
      <c r="G706">
        <f t="shared" si="10"/>
        <v>10</v>
      </c>
      <c r="H706" t="str" cm="1">
        <f t="array" ref="H706">_xlfn.IFS(AND(G706&gt;=6,G706&lt;=12),"上",AND(G706&gt;=13,G706&lt;=18),"下",AND(G706&gt;=19,G706&lt;=24),"晚",AND(G706&lt;=5),"晚")</f>
        <v>上</v>
      </c>
    </row>
    <row r="707" spans="1:8" x14ac:dyDescent="0.3">
      <c r="A707" s="2">
        <v>44969.958333333343</v>
      </c>
      <c r="B707">
        <v>25.993240584447509</v>
      </c>
      <c r="C707">
        <v>48.02246134249873</v>
      </c>
      <c r="D707">
        <v>657.47226925797702</v>
      </c>
      <c r="E707">
        <v>1.6534974814148891</v>
      </c>
      <c r="F707">
        <v>0.31000512004411362</v>
      </c>
      <c r="G707">
        <f t="shared" ref="G707:G770" si="11">HOUR(A707)</f>
        <v>23</v>
      </c>
      <c r="H707" t="str" cm="1">
        <f t="array" ref="H707">_xlfn.IFS(AND(G707&gt;=6,G707&lt;=12),"上",AND(G707&gt;=13,G707&lt;=18),"下",AND(G707&gt;=19,G707&lt;=24),"晚",AND(G707&lt;=5),"晚")</f>
        <v>晚</v>
      </c>
    </row>
    <row r="708" spans="1:8" x14ac:dyDescent="0.3">
      <c r="A708" s="2">
        <v>45024.166666666657</v>
      </c>
      <c r="B708">
        <v>25.09796955041023</v>
      </c>
      <c r="C708">
        <v>48.381429664425511</v>
      </c>
      <c r="D708">
        <v>105.1250099912122</v>
      </c>
      <c r="E708">
        <v>4.5895744903990643</v>
      </c>
      <c r="F708">
        <v>1.017709559258422</v>
      </c>
      <c r="G708">
        <f t="shared" si="11"/>
        <v>4</v>
      </c>
      <c r="H708" t="str" cm="1">
        <f t="array" ref="H708">_xlfn.IFS(AND(G708&gt;=6,G708&lt;=12),"上",AND(G708&gt;=13,G708&lt;=18),"下",AND(G708&gt;=19,G708&lt;=24),"晚",AND(G708&lt;=5),"晚")</f>
        <v>晚</v>
      </c>
    </row>
    <row r="709" spans="1:8" x14ac:dyDescent="0.3">
      <c r="A709" s="2">
        <v>45269.666666666657</v>
      </c>
      <c r="B709">
        <v>26.715050795524562</v>
      </c>
      <c r="C709">
        <v>45.447409729665793</v>
      </c>
      <c r="D709">
        <v>204.6539129185785</v>
      </c>
      <c r="E709">
        <v>1.2279214155797189</v>
      </c>
      <c r="F709">
        <v>0.64921890138072347</v>
      </c>
      <c r="G709">
        <f t="shared" si="11"/>
        <v>16</v>
      </c>
      <c r="H709" t="str" cm="1">
        <f t="array" ref="H709">_xlfn.IFS(AND(G709&gt;=6,G709&lt;=12),"上",AND(G709&gt;=13,G709&lt;=18),"下",AND(G709&gt;=19,G709&lt;=24),"晚",AND(G709&lt;=5),"晚")</f>
        <v>下</v>
      </c>
    </row>
    <row r="710" spans="1:8" x14ac:dyDescent="0.3">
      <c r="A710" s="2">
        <v>45148.291666666657</v>
      </c>
      <c r="B710">
        <v>20.434459283535979</v>
      </c>
      <c r="C710">
        <v>31.196920575573191</v>
      </c>
      <c r="D710">
        <v>198.59108083808269</v>
      </c>
      <c r="E710">
        <v>3.6922585859290011</v>
      </c>
      <c r="F710">
        <v>0.54943467494560494</v>
      </c>
      <c r="G710">
        <f t="shared" si="11"/>
        <v>7</v>
      </c>
      <c r="H710" t="str" cm="1">
        <f t="array" ref="H710">_xlfn.IFS(AND(G710&gt;=6,G710&lt;=12),"上",AND(G710&gt;=13,G710&lt;=18),"下",AND(G710&gt;=19,G710&lt;=24),"晚",AND(G710&lt;=5),"晚")</f>
        <v>上</v>
      </c>
    </row>
    <row r="711" spans="1:8" x14ac:dyDescent="0.3">
      <c r="A711" s="2">
        <v>44998.166666666657</v>
      </c>
      <c r="B711">
        <v>22.602423689064249</v>
      </c>
      <c r="C711">
        <v>37.973809475278159</v>
      </c>
      <c r="D711">
        <v>598.47686331920181</v>
      </c>
      <c r="E711">
        <v>3.6766312195571431</v>
      </c>
      <c r="F711">
        <v>0.52426212052202115</v>
      </c>
      <c r="G711">
        <f t="shared" si="11"/>
        <v>4</v>
      </c>
      <c r="H711" t="str" cm="1">
        <f t="array" ref="H711">_xlfn.IFS(AND(G711&gt;=6,G711&lt;=12),"上",AND(G711&gt;=13,G711&lt;=18),"下",AND(G711&gt;=19,G711&lt;=24),"晚",AND(G711&lt;=5),"晚")</f>
        <v>晚</v>
      </c>
    </row>
    <row r="712" spans="1:8" x14ac:dyDescent="0.3">
      <c r="A712" s="2">
        <v>45284.208333333343</v>
      </c>
      <c r="B712">
        <v>27.031446813789689</v>
      </c>
      <c r="C712">
        <v>35.460579988364337</v>
      </c>
      <c r="D712">
        <v>726.16152535628851</v>
      </c>
      <c r="E712">
        <v>4.6627757977550379</v>
      </c>
      <c r="F712">
        <v>1.3727423143550641</v>
      </c>
      <c r="G712">
        <f t="shared" si="11"/>
        <v>5</v>
      </c>
      <c r="H712" t="str" cm="1">
        <f t="array" ref="H712">_xlfn.IFS(AND(G712&gt;=6,G712&lt;=12),"上",AND(G712&gt;=13,G712&lt;=18),"下",AND(G712&gt;=19,G712&lt;=24),"晚",AND(G712&lt;=5),"晚")</f>
        <v>晚</v>
      </c>
    </row>
    <row r="713" spans="1:8" x14ac:dyDescent="0.3">
      <c r="A713" s="2">
        <v>45103.583333333343</v>
      </c>
      <c r="B713">
        <v>23.44401568325932</v>
      </c>
      <c r="C713">
        <v>30.50954406398338</v>
      </c>
      <c r="D713">
        <v>945.41729754346841</v>
      </c>
      <c r="E713">
        <v>1.9115020954679871</v>
      </c>
      <c r="F713">
        <v>1.608215259587894</v>
      </c>
      <c r="G713">
        <f t="shared" si="11"/>
        <v>14</v>
      </c>
      <c r="H713" t="str" cm="1">
        <f t="array" ref="H713">_xlfn.IFS(AND(G713&gt;=6,G713&lt;=12),"上",AND(G713&gt;=13,G713&lt;=18),"下",AND(G713&gt;=19,G713&lt;=24),"晚",AND(G713&lt;=5),"晚")</f>
        <v>下</v>
      </c>
    </row>
    <row r="714" spans="1:8" x14ac:dyDescent="0.3">
      <c r="A714" s="2">
        <v>44982.708333333343</v>
      </c>
      <c r="B714">
        <v>23.046546730181511</v>
      </c>
      <c r="C714">
        <v>54.765342564929199</v>
      </c>
      <c r="D714">
        <v>911.10486149666633</v>
      </c>
      <c r="E714">
        <v>1.6865296188574741</v>
      </c>
      <c r="F714">
        <v>0.87693538086091249</v>
      </c>
      <c r="G714">
        <f t="shared" si="11"/>
        <v>17</v>
      </c>
      <c r="H714" t="str" cm="1">
        <f t="array" ref="H714">_xlfn.IFS(AND(G714&gt;=6,G714&lt;=12),"上",AND(G714&gt;=13,G714&lt;=18),"下",AND(G714&gt;=19,G714&lt;=24),"晚",AND(G714&lt;=5),"晚")</f>
        <v>下</v>
      </c>
    </row>
    <row r="715" spans="1:8" x14ac:dyDescent="0.3">
      <c r="A715" s="2">
        <v>45227.708333333343</v>
      </c>
      <c r="B715">
        <v>28.197769629082462</v>
      </c>
      <c r="C715">
        <v>33.957838585925643</v>
      </c>
      <c r="D715">
        <v>638.05098580551567</v>
      </c>
      <c r="E715">
        <v>3.0540455933997368</v>
      </c>
      <c r="F715">
        <v>0.70520377642567533</v>
      </c>
      <c r="G715">
        <f t="shared" si="11"/>
        <v>17</v>
      </c>
      <c r="H715" t="str" cm="1">
        <f t="array" ref="H715">_xlfn.IFS(AND(G715&gt;=6,G715&lt;=12),"上",AND(G715&gt;=13,G715&lt;=18),"下",AND(G715&gt;=19,G715&lt;=24),"晚",AND(G715&lt;=5),"晚")</f>
        <v>下</v>
      </c>
    </row>
    <row r="716" spans="1:8" x14ac:dyDescent="0.3">
      <c r="A716" s="2">
        <v>45120.416666666657</v>
      </c>
      <c r="B716">
        <v>27.960630618396909</v>
      </c>
      <c r="C716">
        <v>35.935581420678353</v>
      </c>
      <c r="D716">
        <v>614.09224302572375</v>
      </c>
      <c r="E716">
        <v>4.8102869683367988</v>
      </c>
      <c r="F716">
        <v>1.4889676614392411</v>
      </c>
      <c r="G716">
        <f t="shared" si="11"/>
        <v>10</v>
      </c>
      <c r="H716" t="str" cm="1">
        <f t="array" ref="H716">_xlfn.IFS(AND(G716&gt;=6,G716&lt;=12),"上",AND(G716&gt;=13,G716&lt;=18),"下",AND(G716&gt;=19,G716&lt;=24),"晚",AND(G716&lt;=5),"晚")</f>
        <v>上</v>
      </c>
    </row>
    <row r="717" spans="1:8" x14ac:dyDescent="0.3">
      <c r="A717" s="2">
        <v>45182.416666666657</v>
      </c>
      <c r="B717">
        <v>27.449909385957721</v>
      </c>
      <c r="C717">
        <v>33.964526517146062</v>
      </c>
      <c r="D717">
        <v>161.48321876035109</v>
      </c>
      <c r="E717">
        <v>2.1154640779558891</v>
      </c>
      <c r="F717">
        <v>0.61141203943826117</v>
      </c>
      <c r="G717">
        <f t="shared" si="11"/>
        <v>10</v>
      </c>
      <c r="H717" t="str" cm="1">
        <f t="array" ref="H717">_xlfn.IFS(AND(G717&gt;=6,G717&lt;=12),"上",AND(G717&gt;=13,G717&lt;=18),"下",AND(G717&gt;=19,G717&lt;=24),"晚",AND(G717&lt;=5),"晚")</f>
        <v>上</v>
      </c>
    </row>
    <row r="718" spans="1:8" x14ac:dyDescent="0.3">
      <c r="A718" s="2">
        <v>44962.666666666657</v>
      </c>
      <c r="B718">
        <v>26.27625416007492</v>
      </c>
      <c r="C718">
        <v>60.586616368204773</v>
      </c>
      <c r="D718">
        <v>794.09040326452111</v>
      </c>
      <c r="E718">
        <v>4.1866598187251194</v>
      </c>
      <c r="F718">
        <v>1.7538754039884801</v>
      </c>
      <c r="G718">
        <f t="shared" si="11"/>
        <v>16</v>
      </c>
      <c r="H718" t="str" cm="1">
        <f t="array" ref="H718">_xlfn.IFS(AND(G718&gt;=6,G718&lt;=12),"上",AND(G718&gt;=13,G718&lt;=18),"下",AND(G718&gt;=19,G718&lt;=24),"晚",AND(G718&lt;=5),"晚")</f>
        <v>下</v>
      </c>
    </row>
    <row r="719" spans="1:8" x14ac:dyDescent="0.3">
      <c r="A719" s="2">
        <v>45043.708333333343</v>
      </c>
      <c r="B719">
        <v>29.544051438839151</v>
      </c>
      <c r="C719">
        <v>65.335136139328426</v>
      </c>
      <c r="D719">
        <v>339.36309023252619</v>
      </c>
      <c r="E719">
        <v>2.2797686097021801</v>
      </c>
      <c r="F719">
        <v>0.65836731840016949</v>
      </c>
      <c r="G719">
        <f t="shared" si="11"/>
        <v>17</v>
      </c>
      <c r="H719" t="str" cm="1">
        <f t="array" ref="H719">_xlfn.IFS(AND(G719&gt;=6,G719&lt;=12),"上",AND(G719&gt;=13,G719&lt;=18),"下",AND(G719&gt;=19,G719&lt;=24),"晚",AND(G719&lt;=5),"晚")</f>
        <v>下</v>
      </c>
    </row>
    <row r="720" spans="1:8" x14ac:dyDescent="0.3">
      <c r="A720" s="2">
        <v>45019.333333333343</v>
      </c>
      <c r="B720">
        <v>20.2105699578931</v>
      </c>
      <c r="C720">
        <v>34.751761191254971</v>
      </c>
      <c r="D720">
        <v>926.1247226378249</v>
      </c>
      <c r="E720">
        <v>2.0204873256353029</v>
      </c>
      <c r="F720">
        <v>0.19737987071841381</v>
      </c>
      <c r="G720">
        <f t="shared" si="11"/>
        <v>8</v>
      </c>
      <c r="H720" t="str" cm="1">
        <f t="array" ref="H720">_xlfn.IFS(AND(G720&gt;=6,G720&lt;=12),"上",AND(G720&gt;=13,G720&lt;=18),"下",AND(G720&gt;=19,G720&lt;=24),"晚",AND(G720&lt;=5),"晚")</f>
        <v>上</v>
      </c>
    </row>
    <row r="721" spans="1:8" x14ac:dyDescent="0.3">
      <c r="A721" s="2">
        <v>45245.916666666657</v>
      </c>
      <c r="B721">
        <v>21.526430996134451</v>
      </c>
      <c r="C721">
        <v>54.626597335685503</v>
      </c>
      <c r="D721">
        <v>299.08500691025438</v>
      </c>
      <c r="E721">
        <v>3.7364228271698638</v>
      </c>
      <c r="F721">
        <v>0.99365098910412353</v>
      </c>
      <c r="G721">
        <f t="shared" si="11"/>
        <v>22</v>
      </c>
      <c r="H721" t="str" cm="1">
        <f t="array" ref="H721">_xlfn.IFS(AND(G721&gt;=6,G721&lt;=12),"上",AND(G721&gt;=13,G721&lt;=18),"下",AND(G721&gt;=19,G721&lt;=24),"晚",AND(G721&lt;=5),"晚")</f>
        <v>晚</v>
      </c>
    </row>
    <row r="722" spans="1:8" x14ac:dyDescent="0.3">
      <c r="A722" s="2">
        <v>45109</v>
      </c>
      <c r="B722">
        <v>24.598882785460589</v>
      </c>
      <c r="C722">
        <v>54.787545783520201</v>
      </c>
      <c r="D722">
        <v>726.6901677912216</v>
      </c>
      <c r="E722">
        <v>4.085623976337744</v>
      </c>
      <c r="F722">
        <v>0.66982017877078093</v>
      </c>
      <c r="G722">
        <f t="shared" si="11"/>
        <v>0</v>
      </c>
      <c r="H722" t="str" cm="1">
        <f t="array" ref="H722">_xlfn.IFS(AND(G722&gt;=6,G722&lt;=12),"上",AND(G722&gt;=13,G722&lt;=18),"下",AND(G722&gt;=19,G722&lt;=24),"晚",AND(G722&lt;=5),"晚")</f>
        <v>晚</v>
      </c>
    </row>
    <row r="723" spans="1:8" x14ac:dyDescent="0.3">
      <c r="A723" s="2">
        <v>44999.041666666657</v>
      </c>
      <c r="B723">
        <v>22.806898434562932</v>
      </c>
      <c r="C723">
        <v>41.253059623367783</v>
      </c>
      <c r="D723">
        <v>201.06418259500731</v>
      </c>
      <c r="E723">
        <v>1.0522534159875701</v>
      </c>
      <c r="F723">
        <v>0.98531214916648091</v>
      </c>
      <c r="G723">
        <f t="shared" si="11"/>
        <v>1</v>
      </c>
      <c r="H723" t="str" cm="1">
        <f t="array" ref="H723">_xlfn.IFS(AND(G723&gt;=6,G723&lt;=12),"上",AND(G723&gt;=13,G723&lt;=18),"下",AND(G723&gt;=19,G723&lt;=24),"晚",AND(G723&lt;=5),"晚")</f>
        <v>晚</v>
      </c>
    </row>
    <row r="724" spans="1:8" x14ac:dyDescent="0.3">
      <c r="A724" s="2">
        <v>45122.25</v>
      </c>
      <c r="B724">
        <v>22.933593434137631</v>
      </c>
      <c r="C724">
        <v>53.540529001252047</v>
      </c>
      <c r="D724">
        <v>544.49421914164168</v>
      </c>
      <c r="E724">
        <v>3.3344034314055579</v>
      </c>
      <c r="F724">
        <v>0.65485025021522725</v>
      </c>
      <c r="G724">
        <f t="shared" si="11"/>
        <v>6</v>
      </c>
      <c r="H724" t="str" cm="1">
        <f t="array" ref="H724">_xlfn.IFS(AND(G724&gt;=6,G724&lt;=12),"上",AND(G724&gt;=13,G724&lt;=18),"下",AND(G724&gt;=19,G724&lt;=24),"晚",AND(G724&lt;=5),"晚")</f>
        <v>上</v>
      </c>
    </row>
    <row r="725" spans="1:8" x14ac:dyDescent="0.3">
      <c r="A725" s="2">
        <v>45256.25</v>
      </c>
      <c r="B725">
        <v>29.802962659686759</v>
      </c>
      <c r="C725">
        <v>47.331269968479042</v>
      </c>
      <c r="D725">
        <v>234.08280709097539</v>
      </c>
      <c r="E725">
        <v>3.123612879348582</v>
      </c>
      <c r="F725">
        <v>1.9753277958476569</v>
      </c>
      <c r="G725">
        <f t="shared" si="11"/>
        <v>6</v>
      </c>
      <c r="H725" t="str" cm="1">
        <f t="array" ref="H725">_xlfn.IFS(AND(G725&gt;=6,G725&lt;=12),"上",AND(G725&gt;=13,G725&lt;=18),"下",AND(G725&gt;=19,G725&lt;=24),"晚",AND(G725&lt;=5),"晚")</f>
        <v>上</v>
      </c>
    </row>
    <row r="726" spans="1:8" x14ac:dyDescent="0.3">
      <c r="A726" s="2">
        <v>45244</v>
      </c>
      <c r="B726">
        <v>20.44220484826041</v>
      </c>
      <c r="C726">
        <v>34.305809974519413</v>
      </c>
      <c r="D726">
        <v>858.41688750165201</v>
      </c>
      <c r="E726">
        <v>2.556029196332585</v>
      </c>
      <c r="F726">
        <v>1.951618518303903</v>
      </c>
      <c r="G726">
        <f t="shared" si="11"/>
        <v>0</v>
      </c>
      <c r="H726" t="str" cm="1">
        <f t="array" ref="H726">_xlfn.IFS(AND(G726&gt;=6,G726&lt;=12),"上",AND(G726&gt;=13,G726&lt;=18),"下",AND(G726&gt;=19,G726&lt;=24),"晚",AND(G726&lt;=5),"晚")</f>
        <v>晚</v>
      </c>
    </row>
    <row r="727" spans="1:8" x14ac:dyDescent="0.3">
      <c r="A727" s="2">
        <v>45125</v>
      </c>
      <c r="B727">
        <v>20.25897872539354</v>
      </c>
      <c r="C727">
        <v>68.329882650638126</v>
      </c>
      <c r="D727">
        <v>652.60639279369934</v>
      </c>
      <c r="E727">
        <v>4.1412709206849367</v>
      </c>
      <c r="F727">
        <v>1.273316890756472</v>
      </c>
      <c r="G727">
        <f t="shared" si="11"/>
        <v>0</v>
      </c>
      <c r="H727" t="str" cm="1">
        <f t="array" ref="H727">_xlfn.IFS(AND(G727&gt;=6,G727&lt;=12),"上",AND(G727&gt;=13,G727&lt;=18),"下",AND(G727&gt;=19,G727&lt;=24),"晚",AND(G727&lt;=5),"晚")</f>
        <v>晚</v>
      </c>
    </row>
    <row r="728" spans="1:8" x14ac:dyDescent="0.3">
      <c r="A728" s="2">
        <v>44958.083333333343</v>
      </c>
      <c r="B728">
        <v>29.35144855439238</v>
      </c>
      <c r="C728">
        <v>57.14541770136632</v>
      </c>
      <c r="D728">
        <v>979.51630141012936</v>
      </c>
      <c r="E728">
        <v>2.42368291736766</v>
      </c>
      <c r="F728">
        <v>1.8224642228310399</v>
      </c>
      <c r="G728">
        <f t="shared" si="11"/>
        <v>2</v>
      </c>
      <c r="H728" t="str" cm="1">
        <f t="array" ref="H728">_xlfn.IFS(AND(G728&gt;=6,G728&lt;=12),"上",AND(G728&gt;=13,G728&lt;=18),"下",AND(G728&gt;=19,G728&lt;=24),"晚",AND(G728&lt;=5),"晚")</f>
        <v>晚</v>
      </c>
    </row>
    <row r="729" spans="1:8" x14ac:dyDescent="0.3">
      <c r="A729" s="2">
        <v>44951.75</v>
      </c>
      <c r="B729">
        <v>21.60090040990082</v>
      </c>
      <c r="C729">
        <v>68.158380407179749</v>
      </c>
      <c r="D729">
        <v>226.92207481036769</v>
      </c>
      <c r="E729">
        <v>3.1761123756693821</v>
      </c>
      <c r="F729">
        <v>0.69457833514185807</v>
      </c>
      <c r="G729">
        <f t="shared" si="11"/>
        <v>18</v>
      </c>
      <c r="H729" t="str" cm="1">
        <f t="array" ref="H729">_xlfn.IFS(AND(G729&gt;=6,G729&lt;=12),"上",AND(G729&gt;=13,G729&lt;=18),"下",AND(G729&gt;=19,G729&lt;=24),"晚",AND(G729&lt;=5),"晚")</f>
        <v>下</v>
      </c>
    </row>
    <row r="730" spans="1:8" x14ac:dyDescent="0.3">
      <c r="A730" s="2">
        <v>44933.5</v>
      </c>
      <c r="B730">
        <v>20.42977282297856</v>
      </c>
      <c r="C730">
        <v>36.040932295709489</v>
      </c>
      <c r="D730">
        <v>870.49099068107535</v>
      </c>
      <c r="E730">
        <v>2.7114328987998091</v>
      </c>
      <c r="F730">
        <v>1.5969964971742729</v>
      </c>
      <c r="G730">
        <f t="shared" si="11"/>
        <v>12</v>
      </c>
      <c r="H730" t="str" cm="1">
        <f t="array" ref="H730">_xlfn.IFS(AND(G730&gt;=6,G730&lt;=12),"上",AND(G730&gt;=13,G730&lt;=18),"下",AND(G730&gt;=19,G730&lt;=24),"晚",AND(G730&lt;=5),"晚")</f>
        <v>上</v>
      </c>
    </row>
    <row r="731" spans="1:8" x14ac:dyDescent="0.3">
      <c r="A731" s="2">
        <v>45272.958333333343</v>
      </c>
      <c r="B731">
        <v>24.585452791351091</v>
      </c>
      <c r="C731">
        <v>61.766147130889621</v>
      </c>
      <c r="D731">
        <v>760.87913476123845</v>
      </c>
      <c r="E731">
        <v>2.792206799972444</v>
      </c>
      <c r="F731">
        <v>1.5535998102592341</v>
      </c>
      <c r="G731">
        <f t="shared" si="11"/>
        <v>23</v>
      </c>
      <c r="H731" t="str" cm="1">
        <f t="array" ref="H731">_xlfn.IFS(AND(G731&gt;=6,G731&lt;=12),"上",AND(G731&gt;=13,G731&lt;=18),"下",AND(G731&gt;=19,G731&lt;=24),"晚",AND(G731&lt;=5),"晚")</f>
        <v>晚</v>
      </c>
    </row>
    <row r="732" spans="1:8" x14ac:dyDescent="0.3">
      <c r="A732" s="2">
        <v>45287.25</v>
      </c>
      <c r="B732">
        <v>28.818905703558261</v>
      </c>
      <c r="C732">
        <v>46.825032712945678</v>
      </c>
      <c r="D732">
        <v>448.49156865799853</v>
      </c>
      <c r="E732">
        <v>2.9424702076286779</v>
      </c>
      <c r="F732">
        <v>0.77509757588437422</v>
      </c>
      <c r="G732">
        <f t="shared" si="11"/>
        <v>6</v>
      </c>
      <c r="H732" t="str" cm="1">
        <f t="array" ref="H732">_xlfn.IFS(AND(G732&gt;=6,G732&lt;=12),"上",AND(G732&gt;=13,G732&lt;=18),"下",AND(G732&gt;=19,G732&lt;=24),"晚",AND(G732&lt;=5),"晚")</f>
        <v>上</v>
      </c>
    </row>
    <row r="733" spans="1:8" x14ac:dyDescent="0.3">
      <c r="A733" s="2">
        <v>45199.125</v>
      </c>
      <c r="B733">
        <v>23.060647374697538</v>
      </c>
      <c r="C733">
        <v>67.18744587466125</v>
      </c>
      <c r="D733">
        <v>116.11199637408789</v>
      </c>
      <c r="E733">
        <v>1.6247241692691989</v>
      </c>
      <c r="F733">
        <v>1.4707962878757139</v>
      </c>
      <c r="G733">
        <f t="shared" si="11"/>
        <v>3</v>
      </c>
      <c r="H733" t="str" cm="1">
        <f t="array" ref="H733">_xlfn.IFS(AND(G733&gt;=6,G733&lt;=12),"上",AND(G733&gt;=13,G733&lt;=18),"下",AND(G733&gt;=19,G733&lt;=24),"晚",AND(G733&lt;=5),"晚")</f>
        <v>晚</v>
      </c>
    </row>
    <row r="734" spans="1:8" x14ac:dyDescent="0.3">
      <c r="A734" s="2">
        <v>45204.083333333343</v>
      </c>
      <c r="B734">
        <v>29.322514505097129</v>
      </c>
      <c r="C734">
        <v>57.479638282183103</v>
      </c>
      <c r="D734">
        <v>762.37162387959006</v>
      </c>
      <c r="E734">
        <v>4.213835537083737</v>
      </c>
      <c r="F734">
        <v>0.2778731116773997</v>
      </c>
      <c r="G734">
        <f t="shared" si="11"/>
        <v>2</v>
      </c>
      <c r="H734" t="str" cm="1">
        <f t="array" ref="H734">_xlfn.IFS(AND(G734&gt;=6,G734&lt;=12),"上",AND(G734&gt;=13,G734&lt;=18),"下",AND(G734&gt;=19,G734&lt;=24),"晚",AND(G734&lt;=5),"晚")</f>
        <v>晚</v>
      </c>
    </row>
    <row r="735" spans="1:8" x14ac:dyDescent="0.3">
      <c r="A735" s="2">
        <v>45166.75</v>
      </c>
      <c r="B735">
        <v>28.65276153255822</v>
      </c>
      <c r="C735">
        <v>35.88661772013424</v>
      </c>
      <c r="D735">
        <v>188.33314077047569</v>
      </c>
      <c r="E735">
        <v>2.162369614377873</v>
      </c>
      <c r="F735">
        <v>0.54190425361377126</v>
      </c>
      <c r="G735">
        <f t="shared" si="11"/>
        <v>18</v>
      </c>
      <c r="H735" t="str" cm="1">
        <f t="array" ref="H735">_xlfn.IFS(AND(G735&gt;=6,G735&lt;=12),"上",AND(G735&gt;=13,G735&lt;=18),"下",AND(G735&gt;=19,G735&lt;=24),"晚",AND(G735&lt;=5),"晚")</f>
        <v>下</v>
      </c>
    </row>
    <row r="736" spans="1:8" x14ac:dyDescent="0.3">
      <c r="A736" s="2">
        <v>45025.25</v>
      </c>
      <c r="B736">
        <v>22.804178828106409</v>
      </c>
      <c r="C736">
        <v>31.298983117347639</v>
      </c>
      <c r="D736">
        <v>828.04903655609269</v>
      </c>
      <c r="E736">
        <v>3.0651831964960379</v>
      </c>
      <c r="F736">
        <v>0.49881334949659939</v>
      </c>
      <c r="G736">
        <f t="shared" si="11"/>
        <v>6</v>
      </c>
      <c r="H736" t="str" cm="1">
        <f t="array" ref="H736">_xlfn.IFS(AND(G736&gt;=6,G736&lt;=12),"上",AND(G736&gt;=13,G736&lt;=18),"下",AND(G736&gt;=19,G736&lt;=24),"晚",AND(G736&lt;=5),"晚")</f>
        <v>上</v>
      </c>
    </row>
    <row r="737" spans="1:8" x14ac:dyDescent="0.3">
      <c r="A737" s="2">
        <v>45243.083333333343</v>
      </c>
      <c r="B737">
        <v>24.354391922905648</v>
      </c>
      <c r="C737">
        <v>35.02488967035513</v>
      </c>
      <c r="D737">
        <v>818.64463049472909</v>
      </c>
      <c r="E737">
        <v>2.0922731179956999</v>
      </c>
      <c r="F737">
        <v>1.288965542210468</v>
      </c>
      <c r="G737">
        <f t="shared" si="11"/>
        <v>2</v>
      </c>
      <c r="H737" t="str" cm="1">
        <f t="array" ref="H737">_xlfn.IFS(AND(G737&gt;=6,G737&lt;=12),"上",AND(G737&gt;=13,G737&lt;=18),"下",AND(G737&gt;=19,G737&lt;=24),"晚",AND(G737&lt;=5),"晚")</f>
        <v>晚</v>
      </c>
    </row>
    <row r="738" spans="1:8" x14ac:dyDescent="0.3">
      <c r="A738" s="2">
        <v>45138.291666666657</v>
      </c>
      <c r="B738">
        <v>29.237380669378201</v>
      </c>
      <c r="C738">
        <v>58.507591086464743</v>
      </c>
      <c r="D738">
        <v>294.15448317937319</v>
      </c>
      <c r="E738">
        <v>4.4371334044385868</v>
      </c>
      <c r="F738">
        <v>0.48334812818153899</v>
      </c>
      <c r="G738">
        <f t="shared" si="11"/>
        <v>7</v>
      </c>
      <c r="H738" t="str" cm="1">
        <f t="array" ref="H738">_xlfn.IFS(AND(G738&gt;=6,G738&lt;=12),"上",AND(G738&gt;=13,G738&lt;=18),"下",AND(G738&gt;=19,G738&lt;=24),"晚",AND(G738&lt;=5),"晚")</f>
        <v>上</v>
      </c>
    </row>
    <row r="739" spans="1:8" x14ac:dyDescent="0.3">
      <c r="A739" s="2">
        <v>44956.958333333343</v>
      </c>
      <c r="B739">
        <v>21.23286778945667</v>
      </c>
      <c r="C739">
        <v>30.421672563521259</v>
      </c>
      <c r="D739">
        <v>969.31777620697005</v>
      </c>
      <c r="E739">
        <v>4.3267481283435076</v>
      </c>
      <c r="F739">
        <v>0.63875868028026228</v>
      </c>
      <c r="G739">
        <f t="shared" si="11"/>
        <v>23</v>
      </c>
      <c r="H739" t="str" cm="1">
        <f t="array" ref="H739">_xlfn.IFS(AND(G739&gt;=6,G739&lt;=12),"上",AND(G739&gt;=13,G739&lt;=18),"下",AND(G739&gt;=19,G739&lt;=24),"晚",AND(G739&lt;=5),"晚")</f>
        <v>晚</v>
      </c>
    </row>
    <row r="740" spans="1:8" x14ac:dyDescent="0.3">
      <c r="A740" s="2">
        <v>44953.875</v>
      </c>
      <c r="B740">
        <v>20.61893336490219</v>
      </c>
      <c r="C740">
        <v>49.130580008002198</v>
      </c>
      <c r="D740">
        <v>813.61172696229801</v>
      </c>
      <c r="E740">
        <v>4.8024791488531893</v>
      </c>
      <c r="F740">
        <v>0.6174828416602034</v>
      </c>
      <c r="G740">
        <f t="shared" si="11"/>
        <v>21</v>
      </c>
      <c r="H740" t="str" cm="1">
        <f t="array" ref="H740">_xlfn.IFS(AND(G740&gt;=6,G740&lt;=12),"上",AND(G740&gt;=13,G740&lt;=18),"下",AND(G740&gt;=19,G740&lt;=24),"晚",AND(G740&lt;=5),"晚")</f>
        <v>晚</v>
      </c>
    </row>
    <row r="741" spans="1:8" x14ac:dyDescent="0.3">
      <c r="A741" s="2">
        <v>45078</v>
      </c>
      <c r="B741">
        <v>21.887196015523251</v>
      </c>
      <c r="C741">
        <v>52.122132935069338</v>
      </c>
      <c r="D741">
        <v>644.13097097558921</v>
      </c>
      <c r="E741">
        <v>2.4570564569654691</v>
      </c>
      <c r="F741">
        <v>1.892364031073491</v>
      </c>
      <c r="G741">
        <f t="shared" si="11"/>
        <v>0</v>
      </c>
      <c r="H741" t="str" cm="1">
        <f t="array" ref="H741">_xlfn.IFS(AND(G741&gt;=6,G741&lt;=12),"上",AND(G741&gt;=13,G741&lt;=18),"下",AND(G741&gt;=19,G741&lt;=24),"晚",AND(G741&lt;=5),"晚")</f>
        <v>晚</v>
      </c>
    </row>
    <row r="742" spans="1:8" x14ac:dyDescent="0.3">
      <c r="A742" s="2">
        <v>45227.5</v>
      </c>
      <c r="B742">
        <v>22.25621273353493</v>
      </c>
      <c r="C742">
        <v>62.490703278597287</v>
      </c>
      <c r="D742">
        <v>761.45620562273984</v>
      </c>
      <c r="E742">
        <v>4.5478145514303403</v>
      </c>
      <c r="F742">
        <v>1.901199494404505</v>
      </c>
      <c r="G742">
        <f t="shared" si="11"/>
        <v>12</v>
      </c>
      <c r="H742" t="str" cm="1">
        <f t="array" ref="H742">_xlfn.IFS(AND(G742&gt;=6,G742&lt;=12),"上",AND(G742&gt;=13,G742&lt;=18),"下",AND(G742&gt;=19,G742&lt;=24),"晚",AND(G742&lt;=5),"晚")</f>
        <v>上</v>
      </c>
    </row>
    <row r="743" spans="1:8" x14ac:dyDescent="0.3">
      <c r="A743" s="2">
        <v>45243.166666666657</v>
      </c>
      <c r="B743">
        <v>21.793890130379729</v>
      </c>
      <c r="C743">
        <v>47.863794010421998</v>
      </c>
      <c r="D743">
        <v>521.48235211134079</v>
      </c>
      <c r="E743">
        <v>4.4354297887832344</v>
      </c>
      <c r="F743">
        <v>1.6801285322675661</v>
      </c>
      <c r="G743">
        <f t="shared" si="11"/>
        <v>4</v>
      </c>
      <c r="H743" t="str" cm="1">
        <f t="array" ref="H743">_xlfn.IFS(AND(G743&gt;=6,G743&lt;=12),"上",AND(G743&gt;=13,G743&lt;=18),"下",AND(G743&gt;=19,G743&lt;=24),"晚",AND(G743&lt;=5),"晚")</f>
        <v>晚</v>
      </c>
    </row>
    <row r="744" spans="1:8" x14ac:dyDescent="0.3">
      <c r="A744" s="2">
        <v>45031.583333333343</v>
      </c>
      <c r="B744">
        <v>20.31712066999194</v>
      </c>
      <c r="C744">
        <v>30.21946781060382</v>
      </c>
      <c r="D744">
        <v>183.56233159678251</v>
      </c>
      <c r="E744">
        <v>3.2952172336671421</v>
      </c>
      <c r="F744">
        <v>0.95789172811678081</v>
      </c>
      <c r="G744">
        <f t="shared" si="11"/>
        <v>14</v>
      </c>
      <c r="H744" t="str" cm="1">
        <f t="array" ref="H744">_xlfn.IFS(AND(G744&gt;=6,G744&lt;=12),"上",AND(G744&gt;=13,G744&lt;=18),"下",AND(G744&gt;=19,G744&lt;=24),"晚",AND(G744&lt;=5),"晚")</f>
        <v>下</v>
      </c>
    </row>
    <row r="745" spans="1:8" x14ac:dyDescent="0.3">
      <c r="A745" s="2">
        <v>45057.833333333343</v>
      </c>
      <c r="B745">
        <v>27.176589265840828</v>
      </c>
      <c r="C745">
        <v>38.75128718460715</v>
      </c>
      <c r="D745">
        <v>673.23722846027317</v>
      </c>
      <c r="E745">
        <v>1.59029778284523</v>
      </c>
      <c r="F745">
        <v>1.0311253378565359</v>
      </c>
      <c r="G745">
        <f t="shared" si="11"/>
        <v>20</v>
      </c>
      <c r="H745" t="str" cm="1">
        <f t="array" ref="H745">_xlfn.IFS(AND(G745&gt;=6,G745&lt;=12),"上",AND(G745&gt;=13,G745&lt;=18),"下",AND(G745&gt;=19,G745&lt;=24),"晚",AND(G745&lt;=5),"晚")</f>
        <v>晚</v>
      </c>
    </row>
    <row r="746" spans="1:8" x14ac:dyDescent="0.3">
      <c r="A746" s="2">
        <v>44948.75</v>
      </c>
      <c r="B746">
        <v>21.61951946271628</v>
      </c>
      <c r="C746">
        <v>31.902171729264651</v>
      </c>
      <c r="D746">
        <v>474.60567833844408</v>
      </c>
      <c r="E746">
        <v>3.8165941504674081</v>
      </c>
      <c r="F746">
        <v>0.81169686240056615</v>
      </c>
      <c r="G746">
        <f t="shared" si="11"/>
        <v>18</v>
      </c>
      <c r="H746" t="str" cm="1">
        <f t="array" ref="H746">_xlfn.IFS(AND(G746&gt;=6,G746&lt;=12),"上",AND(G746&gt;=13,G746&lt;=18),"下",AND(G746&gt;=19,G746&lt;=24),"晚",AND(G746&lt;=5),"晚")</f>
        <v>下</v>
      </c>
    </row>
    <row r="747" spans="1:8" x14ac:dyDescent="0.3">
      <c r="A747" s="2">
        <v>45161.416666666657</v>
      </c>
      <c r="B747">
        <v>24.553889594119379</v>
      </c>
      <c r="C747">
        <v>69.238096196853775</v>
      </c>
      <c r="D747">
        <v>980.97211526123658</v>
      </c>
      <c r="E747">
        <v>4.7791514361325333</v>
      </c>
      <c r="F747">
        <v>0.97557612105859459</v>
      </c>
      <c r="G747">
        <f t="shared" si="11"/>
        <v>10</v>
      </c>
      <c r="H747" t="str" cm="1">
        <f t="array" ref="H747">_xlfn.IFS(AND(G747&gt;=6,G747&lt;=12),"上",AND(G747&gt;=13,G747&lt;=18),"下",AND(G747&gt;=19,G747&lt;=24),"晚",AND(G747&lt;=5),"晚")</f>
        <v>上</v>
      </c>
    </row>
    <row r="748" spans="1:8" x14ac:dyDescent="0.3">
      <c r="A748" s="2">
        <v>45056</v>
      </c>
      <c r="B748">
        <v>21.203883583693731</v>
      </c>
      <c r="C748">
        <v>55.53689339268972</v>
      </c>
      <c r="D748">
        <v>157.01052261604269</v>
      </c>
      <c r="E748">
        <v>4.2772203406784559</v>
      </c>
      <c r="F748">
        <v>0.36885731386333648</v>
      </c>
      <c r="G748">
        <f t="shared" si="11"/>
        <v>0</v>
      </c>
      <c r="H748" t="str" cm="1">
        <f t="array" ref="H748">_xlfn.IFS(AND(G748&gt;=6,G748&lt;=12),"上",AND(G748&gt;=13,G748&lt;=18),"下",AND(G748&gt;=19,G748&lt;=24),"晚",AND(G748&lt;=5),"晚")</f>
        <v>晚</v>
      </c>
    </row>
    <row r="749" spans="1:8" x14ac:dyDescent="0.3">
      <c r="A749" s="2">
        <v>44931.458333333343</v>
      </c>
      <c r="B749">
        <v>23.65518110877181</v>
      </c>
      <c r="C749">
        <v>30.076801108104341</v>
      </c>
      <c r="D749">
        <v>244.46078145794721</v>
      </c>
      <c r="E749">
        <v>1.306124242517531</v>
      </c>
      <c r="F749">
        <v>0.61487047885227597</v>
      </c>
      <c r="G749">
        <f t="shared" si="11"/>
        <v>11</v>
      </c>
      <c r="H749" t="str" cm="1">
        <f t="array" ref="H749">_xlfn.IFS(AND(G749&gt;=6,G749&lt;=12),"上",AND(G749&gt;=13,G749&lt;=18),"下",AND(G749&gt;=19,G749&lt;=24),"晚",AND(G749&lt;=5),"晚")</f>
        <v>上</v>
      </c>
    </row>
    <row r="750" spans="1:8" x14ac:dyDescent="0.3">
      <c r="A750" s="2">
        <v>45029.75</v>
      </c>
      <c r="B750">
        <v>23.974676252154641</v>
      </c>
      <c r="C750">
        <v>31.541167780052671</v>
      </c>
      <c r="D750">
        <v>910.31472390914826</v>
      </c>
      <c r="E750">
        <v>1.0900938647366469</v>
      </c>
      <c r="F750">
        <v>0.45169248212022989</v>
      </c>
      <c r="G750">
        <f t="shared" si="11"/>
        <v>18</v>
      </c>
      <c r="H750" t="str" cm="1">
        <f t="array" ref="H750">_xlfn.IFS(AND(G750&gt;=6,G750&lt;=12),"上",AND(G750&gt;=13,G750&lt;=18),"下",AND(G750&gt;=19,G750&lt;=24),"晚",AND(G750&lt;=5),"晚")</f>
        <v>下</v>
      </c>
    </row>
    <row r="751" spans="1:8" x14ac:dyDescent="0.3">
      <c r="A751" s="2">
        <v>44942.958333333343</v>
      </c>
      <c r="B751">
        <v>29.129859757817432</v>
      </c>
      <c r="C751">
        <v>39.020881323547549</v>
      </c>
      <c r="D751">
        <v>538.29331172905063</v>
      </c>
      <c r="E751">
        <v>2.8425436514174449</v>
      </c>
      <c r="F751">
        <v>1.773721695242469</v>
      </c>
      <c r="G751">
        <f t="shared" si="11"/>
        <v>23</v>
      </c>
      <c r="H751" t="str" cm="1">
        <f t="array" ref="H751">_xlfn.IFS(AND(G751&gt;=6,G751&lt;=12),"上",AND(G751&gt;=13,G751&lt;=18),"下",AND(G751&gt;=19,G751&lt;=24),"晚",AND(G751&lt;=5),"晚")</f>
        <v>晚</v>
      </c>
    </row>
    <row r="752" spans="1:8" x14ac:dyDescent="0.3">
      <c r="A752" s="2">
        <v>45290.083333333343</v>
      </c>
      <c r="B752">
        <v>27.053167555469791</v>
      </c>
      <c r="C752">
        <v>61.154220860040972</v>
      </c>
      <c r="D752">
        <v>273.82190582486783</v>
      </c>
      <c r="E752">
        <v>4.6520349055734478</v>
      </c>
      <c r="F752">
        <v>1.410949011721947</v>
      </c>
      <c r="G752">
        <f t="shared" si="11"/>
        <v>2</v>
      </c>
      <c r="H752" t="str" cm="1">
        <f t="array" ref="H752">_xlfn.IFS(AND(G752&gt;=6,G752&lt;=12),"上",AND(G752&gt;=13,G752&lt;=18),"下",AND(G752&gt;=19,G752&lt;=24),"晚",AND(G752&lt;=5),"晚")</f>
        <v>晚</v>
      </c>
    </row>
    <row r="753" spans="1:8" x14ac:dyDescent="0.3">
      <c r="A753" s="2">
        <v>45236.875</v>
      </c>
      <c r="B753">
        <v>29.061421735797129</v>
      </c>
      <c r="C753">
        <v>45.960767418384407</v>
      </c>
      <c r="D753">
        <v>381.40017779329889</v>
      </c>
      <c r="E753">
        <v>3.8894511776473002</v>
      </c>
      <c r="F753">
        <v>0.35333603992452239</v>
      </c>
      <c r="G753">
        <f t="shared" si="11"/>
        <v>21</v>
      </c>
      <c r="H753" t="str" cm="1">
        <f t="array" ref="H753">_xlfn.IFS(AND(G753&gt;=6,G753&lt;=12),"上",AND(G753&gt;=13,G753&lt;=18),"下",AND(G753&gt;=19,G753&lt;=24),"晚",AND(G753&lt;=5),"晚")</f>
        <v>晚</v>
      </c>
    </row>
    <row r="754" spans="1:8" x14ac:dyDescent="0.3">
      <c r="A754" s="2">
        <v>45184.333333333343</v>
      </c>
      <c r="B754">
        <v>24.890963315370001</v>
      </c>
      <c r="C754">
        <v>50.214500423358878</v>
      </c>
      <c r="D754">
        <v>168.66995168846049</v>
      </c>
      <c r="E754">
        <v>4.9975423324227179</v>
      </c>
      <c r="F754">
        <v>0.91777807590853433</v>
      </c>
      <c r="G754">
        <f t="shared" si="11"/>
        <v>8</v>
      </c>
      <c r="H754" t="str" cm="1">
        <f t="array" ref="H754">_xlfn.IFS(AND(G754&gt;=6,G754&lt;=12),"上",AND(G754&gt;=13,G754&lt;=18),"下",AND(G754&gt;=19,G754&lt;=24),"晚",AND(G754&lt;=5),"晚")</f>
        <v>上</v>
      </c>
    </row>
    <row r="755" spans="1:8" x14ac:dyDescent="0.3">
      <c r="A755" s="2">
        <v>45009.166666666657</v>
      </c>
      <c r="B755">
        <v>21.693416493944</v>
      </c>
      <c r="C755">
        <v>64.900351019009818</v>
      </c>
      <c r="D755">
        <v>670.5200087305459</v>
      </c>
      <c r="E755">
        <v>3.5091944010746028</v>
      </c>
      <c r="F755">
        <v>0.71872097398941792</v>
      </c>
      <c r="G755">
        <f t="shared" si="11"/>
        <v>4</v>
      </c>
      <c r="H755" t="str" cm="1">
        <f t="array" ref="H755">_xlfn.IFS(AND(G755&gt;=6,G755&lt;=12),"上",AND(G755&gt;=13,G755&lt;=18),"下",AND(G755&gt;=19,G755&lt;=24),"晚",AND(G755&lt;=5),"晚")</f>
        <v>晚</v>
      </c>
    </row>
    <row r="756" spans="1:8" x14ac:dyDescent="0.3">
      <c r="A756" s="2">
        <v>45226.958333333343</v>
      </c>
      <c r="B756">
        <v>24.096332437330329</v>
      </c>
      <c r="C756">
        <v>65.649717078321089</v>
      </c>
      <c r="D756">
        <v>928.07249044901926</v>
      </c>
      <c r="E756">
        <v>4.5289199285136448</v>
      </c>
      <c r="F756">
        <v>0.12839149836532501</v>
      </c>
      <c r="G756">
        <f t="shared" si="11"/>
        <v>23</v>
      </c>
      <c r="H756" t="str" cm="1">
        <f t="array" ref="H756">_xlfn.IFS(AND(G756&gt;=6,G756&lt;=12),"上",AND(G756&gt;=13,G756&lt;=18),"下",AND(G756&gt;=19,G756&lt;=24),"晚",AND(G756&lt;=5),"晚")</f>
        <v>晚</v>
      </c>
    </row>
    <row r="757" spans="1:8" x14ac:dyDescent="0.3">
      <c r="A757" s="2">
        <v>45191.958333333343</v>
      </c>
      <c r="B757">
        <v>25.936784880031219</v>
      </c>
      <c r="C757">
        <v>47.113528534588852</v>
      </c>
      <c r="D757">
        <v>613.17822222157065</v>
      </c>
      <c r="E757">
        <v>4.2481001562025522</v>
      </c>
      <c r="F757">
        <v>1.5049122759704321</v>
      </c>
      <c r="G757">
        <f t="shared" si="11"/>
        <v>23</v>
      </c>
      <c r="H757" t="str" cm="1">
        <f t="array" ref="H757">_xlfn.IFS(AND(G757&gt;=6,G757&lt;=12),"上",AND(G757&gt;=13,G757&lt;=18),"下",AND(G757&gt;=19,G757&lt;=24),"晚",AND(G757&lt;=5),"晚")</f>
        <v>晚</v>
      </c>
    </row>
    <row r="758" spans="1:8" x14ac:dyDescent="0.3">
      <c r="A758" s="2">
        <v>45154.583333333343</v>
      </c>
      <c r="B758">
        <v>25.412451647452091</v>
      </c>
      <c r="C758">
        <v>60.406379105582147</v>
      </c>
      <c r="D758">
        <v>677.7836740367477</v>
      </c>
      <c r="E758">
        <v>3.1544356416328831</v>
      </c>
      <c r="F758">
        <v>0.93639865067685146</v>
      </c>
      <c r="G758">
        <f t="shared" si="11"/>
        <v>14</v>
      </c>
      <c r="H758" t="str" cm="1">
        <f t="array" ref="H758">_xlfn.IFS(AND(G758&gt;=6,G758&lt;=12),"上",AND(G758&gt;=13,G758&lt;=18),"下",AND(G758&gt;=19,G758&lt;=24),"晚",AND(G758&lt;=5),"晚")</f>
        <v>下</v>
      </c>
    </row>
    <row r="759" spans="1:8" x14ac:dyDescent="0.3">
      <c r="A759" s="2">
        <v>44954.916666666657</v>
      </c>
      <c r="B759">
        <v>28.96305492005823</v>
      </c>
      <c r="C759">
        <v>39.367032370508348</v>
      </c>
      <c r="D759">
        <v>363.52393185403582</v>
      </c>
      <c r="E759">
        <v>1.3618021811031611</v>
      </c>
      <c r="F759">
        <v>0.78715349479786334</v>
      </c>
      <c r="G759">
        <f t="shared" si="11"/>
        <v>22</v>
      </c>
      <c r="H759" t="str" cm="1">
        <f t="array" ref="H759">_xlfn.IFS(AND(G759&gt;=6,G759&lt;=12),"上",AND(G759&gt;=13,G759&lt;=18),"下",AND(G759&gt;=19,G759&lt;=24),"晚",AND(G759&lt;=5),"晚")</f>
        <v>晚</v>
      </c>
    </row>
    <row r="760" spans="1:8" x14ac:dyDescent="0.3">
      <c r="A760" s="2">
        <v>45051.041666666657</v>
      </c>
      <c r="B760">
        <v>25.923777962295912</v>
      </c>
      <c r="C760">
        <v>37.007455982124348</v>
      </c>
      <c r="D760">
        <v>737.577099542518</v>
      </c>
      <c r="E760">
        <v>1.523332166404521</v>
      </c>
      <c r="F760">
        <v>0.44608709318583017</v>
      </c>
      <c r="G760">
        <f t="shared" si="11"/>
        <v>1</v>
      </c>
      <c r="H760" t="str" cm="1">
        <f t="array" ref="H760">_xlfn.IFS(AND(G760&gt;=6,G760&lt;=12),"上",AND(G760&gt;=13,G760&lt;=18),"下",AND(G760&gt;=19,G760&lt;=24),"晚",AND(G760&lt;=5),"晚")</f>
        <v>晚</v>
      </c>
    </row>
    <row r="761" spans="1:8" x14ac:dyDescent="0.3">
      <c r="A761" s="2">
        <v>45285.5</v>
      </c>
      <c r="B761">
        <v>22.566308212925399</v>
      </c>
      <c r="C761">
        <v>69.051771463233734</v>
      </c>
      <c r="D761">
        <v>923.6525709070454</v>
      </c>
      <c r="E761">
        <v>4.2619276537859472</v>
      </c>
      <c r="F761">
        <v>1.0277496066897309</v>
      </c>
      <c r="G761">
        <f t="shared" si="11"/>
        <v>12</v>
      </c>
      <c r="H761" t="str" cm="1">
        <f t="array" ref="H761">_xlfn.IFS(AND(G761&gt;=6,G761&lt;=12),"上",AND(G761&gt;=13,G761&lt;=18),"下",AND(G761&gt;=19,G761&lt;=24),"晚",AND(G761&lt;=5),"晚")</f>
        <v>上</v>
      </c>
    </row>
    <row r="762" spans="1:8" x14ac:dyDescent="0.3">
      <c r="A762" s="2">
        <v>45206.333333333343</v>
      </c>
      <c r="B762">
        <v>29.525863295023289</v>
      </c>
      <c r="C762">
        <v>55.528040424774851</v>
      </c>
      <c r="D762">
        <v>141.73470518164939</v>
      </c>
      <c r="E762">
        <v>2.4774955618360361</v>
      </c>
      <c r="F762">
        <v>0.61611412679907285</v>
      </c>
      <c r="G762">
        <f t="shared" si="11"/>
        <v>8</v>
      </c>
      <c r="H762" t="str" cm="1">
        <f t="array" ref="H762">_xlfn.IFS(AND(G762&gt;=6,G762&lt;=12),"上",AND(G762&gt;=13,G762&lt;=18),"下",AND(G762&gt;=19,G762&lt;=24),"晚",AND(G762&lt;=5),"晚")</f>
        <v>上</v>
      </c>
    </row>
    <row r="763" spans="1:8" x14ac:dyDescent="0.3">
      <c r="A763" s="2">
        <v>45203.875</v>
      </c>
      <c r="B763">
        <v>21.739261682460992</v>
      </c>
      <c r="C763">
        <v>56.291498507688097</v>
      </c>
      <c r="D763">
        <v>295.55275588190011</v>
      </c>
      <c r="E763">
        <v>3.410563869195169</v>
      </c>
      <c r="F763">
        <v>1.064775055092561</v>
      </c>
      <c r="G763">
        <f t="shared" si="11"/>
        <v>21</v>
      </c>
      <c r="H763" t="str" cm="1">
        <f t="array" ref="H763">_xlfn.IFS(AND(G763&gt;=6,G763&lt;=12),"上",AND(G763&gt;=13,G763&lt;=18),"下",AND(G763&gt;=19,G763&lt;=24),"晚",AND(G763&lt;=5),"晚")</f>
        <v>晚</v>
      </c>
    </row>
    <row r="764" spans="1:8" x14ac:dyDescent="0.3">
      <c r="A764" s="2">
        <v>45082.166666666657</v>
      </c>
      <c r="B764">
        <v>24.76438264567912</v>
      </c>
      <c r="C764">
        <v>65.113515234343851</v>
      </c>
      <c r="D764">
        <v>942.96598729263565</v>
      </c>
      <c r="E764">
        <v>2.166846510259262</v>
      </c>
      <c r="F764">
        <v>0.57574736481445399</v>
      </c>
      <c r="G764">
        <f t="shared" si="11"/>
        <v>4</v>
      </c>
      <c r="H764" t="str" cm="1">
        <f t="array" ref="H764">_xlfn.IFS(AND(G764&gt;=6,G764&lt;=12),"上",AND(G764&gt;=13,G764&lt;=18),"下",AND(G764&gt;=19,G764&lt;=24),"晚",AND(G764&lt;=5),"晚")</f>
        <v>晚</v>
      </c>
    </row>
    <row r="765" spans="1:8" x14ac:dyDescent="0.3">
      <c r="A765" s="2">
        <v>45254.75</v>
      </c>
      <c r="B765">
        <v>28.876505123498671</v>
      </c>
      <c r="C765">
        <v>31.081376079634591</v>
      </c>
      <c r="D765">
        <v>824.47587460323541</v>
      </c>
      <c r="E765">
        <v>4.566116938951656</v>
      </c>
      <c r="F765">
        <v>0.65602600257264032</v>
      </c>
      <c r="G765">
        <f t="shared" si="11"/>
        <v>18</v>
      </c>
      <c r="H765" t="str" cm="1">
        <f t="array" ref="H765">_xlfn.IFS(AND(G765&gt;=6,G765&lt;=12),"上",AND(G765&gt;=13,G765&lt;=18),"下",AND(G765&gt;=19,G765&lt;=24),"晚",AND(G765&lt;=5),"晚")</f>
        <v>下</v>
      </c>
    </row>
    <row r="766" spans="1:8" x14ac:dyDescent="0.3">
      <c r="A766" s="2">
        <v>45229.125</v>
      </c>
      <c r="B766">
        <v>27.099218407468289</v>
      </c>
      <c r="C766">
        <v>41.435535514723313</v>
      </c>
      <c r="D766">
        <v>163.23152422549279</v>
      </c>
      <c r="E766">
        <v>4.6639854815966952</v>
      </c>
      <c r="F766">
        <v>0.90780977307649968</v>
      </c>
      <c r="G766">
        <f t="shared" si="11"/>
        <v>3</v>
      </c>
      <c r="H766" t="str" cm="1">
        <f t="array" ref="H766">_xlfn.IFS(AND(G766&gt;=6,G766&lt;=12),"上",AND(G766&gt;=13,G766&lt;=18),"下",AND(G766&gt;=19,G766&lt;=24),"晚",AND(G766&lt;=5),"晚")</f>
        <v>晚</v>
      </c>
    </row>
    <row r="767" spans="1:8" x14ac:dyDescent="0.3">
      <c r="A767" s="2">
        <v>45053</v>
      </c>
      <c r="B767">
        <v>25.353824272656841</v>
      </c>
      <c r="C767">
        <v>58.766800666071447</v>
      </c>
      <c r="D767">
        <v>309.6388290334047</v>
      </c>
      <c r="E767">
        <v>4.8228213627067857</v>
      </c>
      <c r="F767">
        <v>1.2607317766644299</v>
      </c>
      <c r="G767">
        <f t="shared" si="11"/>
        <v>0</v>
      </c>
      <c r="H767" t="str" cm="1">
        <f t="array" ref="H767">_xlfn.IFS(AND(G767&gt;=6,G767&lt;=12),"上",AND(G767&gt;=13,G767&lt;=18),"下",AND(G767&gt;=19,G767&lt;=24),"晚",AND(G767&lt;=5),"晚")</f>
        <v>晚</v>
      </c>
    </row>
    <row r="768" spans="1:8" x14ac:dyDescent="0.3">
      <c r="A768" s="2">
        <v>44993.791666666657</v>
      </c>
      <c r="B768">
        <v>26.878280530757699</v>
      </c>
      <c r="C768">
        <v>48.184927625146337</v>
      </c>
      <c r="D768">
        <v>428.67457820848551</v>
      </c>
      <c r="E768">
        <v>4.7145470199385056</v>
      </c>
      <c r="F768">
        <v>1.700869551876562</v>
      </c>
      <c r="G768">
        <f t="shared" si="11"/>
        <v>19</v>
      </c>
      <c r="H768" t="str" cm="1">
        <f t="array" ref="H768">_xlfn.IFS(AND(G768&gt;=6,G768&lt;=12),"上",AND(G768&gt;=13,G768&lt;=18),"下",AND(G768&gt;=19,G768&lt;=24),"晚",AND(G768&lt;=5),"晚")</f>
        <v>晚</v>
      </c>
    </row>
    <row r="769" spans="1:8" x14ac:dyDescent="0.3">
      <c r="A769" s="2">
        <v>45276</v>
      </c>
      <c r="B769">
        <v>24.377934996908522</v>
      </c>
      <c r="C769">
        <v>67.714758382140488</v>
      </c>
      <c r="D769">
        <v>387.36174791324402</v>
      </c>
      <c r="E769">
        <v>3.256068096599825</v>
      </c>
      <c r="F769">
        <v>0.62944382448011182</v>
      </c>
      <c r="G769">
        <f t="shared" si="11"/>
        <v>0</v>
      </c>
      <c r="H769" t="str" cm="1">
        <f t="array" ref="H769">_xlfn.IFS(AND(G769&gt;=6,G769&lt;=12),"上",AND(G769&gt;=13,G769&lt;=18),"下",AND(G769&gt;=19,G769&lt;=24),"晚",AND(G769&lt;=5),"晚")</f>
        <v>晚</v>
      </c>
    </row>
    <row r="770" spans="1:8" x14ac:dyDescent="0.3">
      <c r="A770" s="2">
        <v>45118.458333333343</v>
      </c>
      <c r="B770">
        <v>23.968058823780559</v>
      </c>
      <c r="C770">
        <v>48.022979856762177</v>
      </c>
      <c r="D770">
        <v>146.1410370000936</v>
      </c>
      <c r="E770">
        <v>3.4075195925556359</v>
      </c>
      <c r="F770">
        <v>0.72201107692845345</v>
      </c>
      <c r="G770">
        <f t="shared" si="11"/>
        <v>11</v>
      </c>
      <c r="H770" t="str" cm="1">
        <f t="array" ref="H770">_xlfn.IFS(AND(G770&gt;=6,G770&lt;=12),"上",AND(G770&gt;=13,G770&lt;=18),"下",AND(G770&gt;=19,G770&lt;=24),"晚",AND(G770&lt;=5),"晚")</f>
        <v>上</v>
      </c>
    </row>
    <row r="771" spans="1:8" x14ac:dyDescent="0.3">
      <c r="A771" s="2">
        <v>44955.708333333343</v>
      </c>
      <c r="B771">
        <v>26.278380403773831</v>
      </c>
      <c r="C771">
        <v>35.081288721697177</v>
      </c>
      <c r="D771">
        <v>253.64498312008371</v>
      </c>
      <c r="E771">
        <v>4.848990769830051</v>
      </c>
      <c r="F771">
        <v>1.3248823475537721</v>
      </c>
      <c r="G771">
        <f t="shared" ref="G771:G834" si="12">HOUR(A771)</f>
        <v>17</v>
      </c>
      <c r="H771" t="str" cm="1">
        <f t="array" ref="H771">_xlfn.IFS(AND(G771&gt;=6,G771&lt;=12),"上",AND(G771&gt;=13,G771&lt;=18),"下",AND(G771&gt;=19,G771&lt;=24),"晚",AND(G771&lt;=5),"晚")</f>
        <v>下</v>
      </c>
    </row>
    <row r="772" spans="1:8" x14ac:dyDescent="0.3">
      <c r="A772" s="2">
        <v>44929.208333333343</v>
      </c>
      <c r="B772">
        <v>27.3700823208797</v>
      </c>
      <c r="C772">
        <v>66.292010646072498</v>
      </c>
      <c r="D772">
        <v>354.13291033245889</v>
      </c>
      <c r="E772">
        <v>2.490538362044834</v>
      </c>
      <c r="F772">
        <v>1.9902061956599859</v>
      </c>
      <c r="G772">
        <f t="shared" si="12"/>
        <v>5</v>
      </c>
      <c r="H772" t="str" cm="1">
        <f t="array" ref="H772">_xlfn.IFS(AND(G772&gt;=6,G772&lt;=12),"上",AND(G772&gt;=13,G772&lt;=18),"下",AND(G772&gt;=19,G772&lt;=24),"晚",AND(G772&lt;=5),"晚")</f>
        <v>晚</v>
      </c>
    </row>
    <row r="773" spans="1:8" x14ac:dyDescent="0.3">
      <c r="A773" s="2">
        <v>45205.291666666657</v>
      </c>
      <c r="B773">
        <v>29.374602254239239</v>
      </c>
      <c r="C773">
        <v>30.204670902498471</v>
      </c>
      <c r="D773">
        <v>237.82028359689119</v>
      </c>
      <c r="E773">
        <v>3.5233479346649692</v>
      </c>
      <c r="F773">
        <v>0.53845543448716149</v>
      </c>
      <c r="G773">
        <f t="shared" si="12"/>
        <v>7</v>
      </c>
      <c r="H773" t="str" cm="1">
        <f t="array" ref="H773">_xlfn.IFS(AND(G773&gt;=6,G773&lt;=12),"上",AND(G773&gt;=13,G773&lt;=18),"下",AND(G773&gt;=19,G773&lt;=24),"晚",AND(G773&lt;=5),"晚")</f>
        <v>上</v>
      </c>
    </row>
    <row r="774" spans="1:8" x14ac:dyDescent="0.3">
      <c r="A774" s="2">
        <v>45282.75</v>
      </c>
      <c r="B774">
        <v>28.365455473234771</v>
      </c>
      <c r="C774">
        <v>60.350539788116542</v>
      </c>
      <c r="D774">
        <v>844.7065321894745</v>
      </c>
      <c r="E774">
        <v>2.758873128117568</v>
      </c>
      <c r="F774">
        <v>0.51946980740783244</v>
      </c>
      <c r="G774">
        <f t="shared" si="12"/>
        <v>18</v>
      </c>
      <c r="H774" t="str" cm="1">
        <f t="array" ref="H774">_xlfn.IFS(AND(G774&gt;=6,G774&lt;=12),"上",AND(G774&gt;=13,G774&lt;=18),"下",AND(G774&gt;=19,G774&lt;=24),"晚",AND(G774&lt;=5),"晚")</f>
        <v>下</v>
      </c>
    </row>
    <row r="775" spans="1:8" x14ac:dyDescent="0.3">
      <c r="A775" s="2">
        <v>45079.458333333343</v>
      </c>
      <c r="B775">
        <v>29.606925063563288</v>
      </c>
      <c r="C775">
        <v>30.333506328785191</v>
      </c>
      <c r="D775">
        <v>568.37118796170478</v>
      </c>
      <c r="E775">
        <v>2.3788870756466078</v>
      </c>
      <c r="F775">
        <v>1.658580299154562</v>
      </c>
      <c r="G775">
        <f t="shared" si="12"/>
        <v>11</v>
      </c>
      <c r="H775" t="str" cm="1">
        <f t="array" ref="H775">_xlfn.IFS(AND(G775&gt;=6,G775&lt;=12),"上",AND(G775&gt;=13,G775&lt;=18),"下",AND(G775&gt;=19,G775&lt;=24),"晚",AND(G775&lt;=5),"晚")</f>
        <v>上</v>
      </c>
    </row>
    <row r="776" spans="1:8" x14ac:dyDescent="0.3">
      <c r="A776" s="2">
        <v>45154.666666666657</v>
      </c>
      <c r="B776">
        <v>21.158861233648501</v>
      </c>
      <c r="C776">
        <v>48.528601861798137</v>
      </c>
      <c r="D776">
        <v>299.30259052804848</v>
      </c>
      <c r="E776">
        <v>4.7177690394611407</v>
      </c>
      <c r="F776">
        <v>1.616332273016496</v>
      </c>
      <c r="G776">
        <f t="shared" si="12"/>
        <v>16</v>
      </c>
      <c r="H776" t="str" cm="1">
        <f t="array" ref="H776">_xlfn.IFS(AND(G776&gt;=6,G776&lt;=12),"上",AND(G776&gt;=13,G776&lt;=18),"下",AND(G776&gt;=19,G776&lt;=24),"晚",AND(G776&lt;=5),"晚")</f>
        <v>下</v>
      </c>
    </row>
    <row r="777" spans="1:8" x14ac:dyDescent="0.3">
      <c r="A777" s="2">
        <v>45126.583333333343</v>
      </c>
      <c r="B777">
        <v>29.89473465847038</v>
      </c>
      <c r="C777">
        <v>38.221867997569177</v>
      </c>
      <c r="D777">
        <v>862.95223975931071</v>
      </c>
      <c r="E777">
        <v>3.2785766636014571</v>
      </c>
      <c r="F777">
        <v>0.72512244022041505</v>
      </c>
      <c r="G777">
        <f t="shared" si="12"/>
        <v>14</v>
      </c>
      <c r="H777" t="str" cm="1">
        <f t="array" ref="H777">_xlfn.IFS(AND(G777&gt;=6,G777&lt;=12),"上",AND(G777&gt;=13,G777&lt;=18),"下",AND(G777&gt;=19,G777&lt;=24),"晚",AND(G777&lt;=5),"晚")</f>
        <v>下</v>
      </c>
    </row>
    <row r="778" spans="1:8" x14ac:dyDescent="0.3">
      <c r="A778" s="2">
        <v>45032.041666666657</v>
      </c>
      <c r="B778">
        <v>22.003017866701761</v>
      </c>
      <c r="C778">
        <v>68.066514150539888</v>
      </c>
      <c r="D778">
        <v>784.59999439482215</v>
      </c>
      <c r="E778">
        <v>2.8604244515991648</v>
      </c>
      <c r="F778">
        <v>0.12802513508724861</v>
      </c>
      <c r="G778">
        <f t="shared" si="12"/>
        <v>1</v>
      </c>
      <c r="H778" t="str" cm="1">
        <f t="array" ref="H778">_xlfn.IFS(AND(G778&gt;=6,G778&lt;=12),"上",AND(G778&gt;=13,G778&lt;=18),"下",AND(G778&gt;=19,G778&lt;=24),"晚",AND(G778&lt;=5),"晚")</f>
        <v>晚</v>
      </c>
    </row>
    <row r="779" spans="1:8" x14ac:dyDescent="0.3">
      <c r="A779" s="2">
        <v>45022.833333333343</v>
      </c>
      <c r="B779">
        <v>20.80903923162046</v>
      </c>
      <c r="C779">
        <v>45.869619840405818</v>
      </c>
      <c r="D779">
        <v>447.64963229621708</v>
      </c>
      <c r="E779">
        <v>1.216515388407009</v>
      </c>
      <c r="F779">
        <v>0.91608429152964199</v>
      </c>
      <c r="G779">
        <f t="shared" si="12"/>
        <v>20</v>
      </c>
      <c r="H779" t="str" cm="1">
        <f t="array" ref="H779">_xlfn.IFS(AND(G779&gt;=6,G779&lt;=12),"上",AND(G779&gt;=13,G779&lt;=18),"下",AND(G779&gt;=19,G779&lt;=24),"晚",AND(G779&lt;=5),"晚")</f>
        <v>晚</v>
      </c>
    </row>
    <row r="780" spans="1:8" x14ac:dyDescent="0.3">
      <c r="A780" s="2">
        <v>45203.458333333343</v>
      </c>
      <c r="B780">
        <v>26.568105028490141</v>
      </c>
      <c r="C780">
        <v>31.238112965966572</v>
      </c>
      <c r="D780">
        <v>857.08828386907317</v>
      </c>
      <c r="E780">
        <v>1.621954929495395</v>
      </c>
      <c r="F780">
        <v>1.1326189498603489</v>
      </c>
      <c r="G780">
        <f t="shared" si="12"/>
        <v>11</v>
      </c>
      <c r="H780" t="str" cm="1">
        <f t="array" ref="H780">_xlfn.IFS(AND(G780&gt;=6,G780&lt;=12),"上",AND(G780&gt;=13,G780&lt;=18),"下",AND(G780&gt;=19,G780&lt;=24),"晚",AND(G780&lt;=5),"晚")</f>
        <v>上</v>
      </c>
    </row>
    <row r="781" spans="1:8" x14ac:dyDescent="0.3">
      <c r="A781" s="2">
        <v>45149.833333333343</v>
      </c>
      <c r="B781">
        <v>26.734872878209011</v>
      </c>
      <c r="C781">
        <v>61.071774934502599</v>
      </c>
      <c r="D781">
        <v>673.70371452605457</v>
      </c>
      <c r="E781">
        <v>3.1629738270561041</v>
      </c>
      <c r="F781">
        <v>1.5442934182526189</v>
      </c>
      <c r="G781">
        <f t="shared" si="12"/>
        <v>20</v>
      </c>
      <c r="H781" t="str" cm="1">
        <f t="array" ref="H781">_xlfn.IFS(AND(G781&gt;=6,G781&lt;=12),"上",AND(G781&gt;=13,G781&lt;=18),"下",AND(G781&gt;=19,G781&lt;=24),"晚",AND(G781&lt;=5),"晚")</f>
        <v>晚</v>
      </c>
    </row>
    <row r="782" spans="1:8" x14ac:dyDescent="0.3">
      <c r="A782" s="2">
        <v>45196.916666666657</v>
      </c>
      <c r="B782">
        <v>29.738222583623031</v>
      </c>
      <c r="C782">
        <v>42.66335794749105</v>
      </c>
      <c r="D782">
        <v>661.1134764667155</v>
      </c>
      <c r="E782">
        <v>4.978473282461966</v>
      </c>
      <c r="F782">
        <v>1.3557994089035119</v>
      </c>
      <c r="G782">
        <f t="shared" si="12"/>
        <v>22</v>
      </c>
      <c r="H782" t="str" cm="1">
        <f t="array" ref="H782">_xlfn.IFS(AND(G782&gt;=6,G782&lt;=12),"上",AND(G782&gt;=13,G782&lt;=18),"下",AND(G782&gt;=19,G782&lt;=24),"晚",AND(G782&lt;=5),"晚")</f>
        <v>晚</v>
      </c>
    </row>
    <row r="783" spans="1:8" x14ac:dyDescent="0.3">
      <c r="A783" s="2">
        <v>44929.541666666657</v>
      </c>
      <c r="B783">
        <v>27.710236857723949</v>
      </c>
      <c r="C783">
        <v>55.578333603679248</v>
      </c>
      <c r="D783">
        <v>193.5263129688002</v>
      </c>
      <c r="E783">
        <v>2.8377458350186568</v>
      </c>
      <c r="F783">
        <v>1.3770403559979789</v>
      </c>
      <c r="G783">
        <f t="shared" si="12"/>
        <v>13</v>
      </c>
      <c r="H783" t="str" cm="1">
        <f t="array" ref="H783">_xlfn.IFS(AND(G783&gt;=6,G783&lt;=12),"上",AND(G783&gt;=13,G783&lt;=18),"下",AND(G783&gt;=19,G783&lt;=24),"晚",AND(G783&lt;=5),"晚")</f>
        <v>下</v>
      </c>
    </row>
    <row r="784" spans="1:8" x14ac:dyDescent="0.3">
      <c r="A784" s="2">
        <v>45238.083333333343</v>
      </c>
      <c r="B784">
        <v>23.926583313259311</v>
      </c>
      <c r="C784">
        <v>46.20912210041913</v>
      </c>
      <c r="D784">
        <v>467.38429345415409</v>
      </c>
      <c r="E784">
        <v>3.5007664123395319</v>
      </c>
      <c r="F784">
        <v>1.626423197126772</v>
      </c>
      <c r="G784">
        <f t="shared" si="12"/>
        <v>2</v>
      </c>
      <c r="H784" t="str" cm="1">
        <f t="array" ref="H784">_xlfn.IFS(AND(G784&gt;=6,G784&lt;=12),"上",AND(G784&gt;=13,G784&lt;=18),"下",AND(G784&gt;=19,G784&lt;=24),"晚",AND(G784&lt;=5),"晚")</f>
        <v>晚</v>
      </c>
    </row>
    <row r="785" spans="1:8" x14ac:dyDescent="0.3">
      <c r="A785" s="2">
        <v>45153.583333333343</v>
      </c>
      <c r="B785">
        <v>26.001054133557751</v>
      </c>
      <c r="C785">
        <v>47.540563668036739</v>
      </c>
      <c r="D785">
        <v>164.27293269794851</v>
      </c>
      <c r="E785">
        <v>4.4067697152099736</v>
      </c>
      <c r="F785">
        <v>1.5722565745192161</v>
      </c>
      <c r="G785">
        <f t="shared" si="12"/>
        <v>14</v>
      </c>
      <c r="H785" t="str" cm="1">
        <f t="array" ref="H785">_xlfn.IFS(AND(G785&gt;=6,G785&lt;=12),"上",AND(G785&gt;=13,G785&lt;=18),"下",AND(G785&gt;=19,G785&lt;=24),"晚",AND(G785&lt;=5),"晚")</f>
        <v>下</v>
      </c>
    </row>
    <row r="786" spans="1:8" x14ac:dyDescent="0.3">
      <c r="A786" s="2">
        <v>44951.458333333343</v>
      </c>
      <c r="B786">
        <v>26.094543472509429</v>
      </c>
      <c r="C786">
        <v>40.551857706888022</v>
      </c>
      <c r="D786">
        <v>460.82145907763089</v>
      </c>
      <c r="E786">
        <v>4.6735884270634562</v>
      </c>
      <c r="F786">
        <v>0.99918243828795106</v>
      </c>
      <c r="G786">
        <f t="shared" si="12"/>
        <v>11</v>
      </c>
      <c r="H786" t="str" cm="1">
        <f t="array" ref="H786">_xlfn.IFS(AND(G786&gt;=6,G786&lt;=12),"上",AND(G786&gt;=13,G786&lt;=18),"下",AND(G786&gt;=19,G786&lt;=24),"晚",AND(G786&lt;=5),"晚")</f>
        <v>上</v>
      </c>
    </row>
    <row r="787" spans="1:8" x14ac:dyDescent="0.3">
      <c r="A787" s="2">
        <v>45187.958333333343</v>
      </c>
      <c r="B787">
        <v>27.6541873543413</v>
      </c>
      <c r="C787">
        <v>61.53330433696275</v>
      </c>
      <c r="D787">
        <v>153.50321880078141</v>
      </c>
      <c r="E787">
        <v>2.4645202870808971</v>
      </c>
      <c r="F787">
        <v>0.29914389601661001</v>
      </c>
      <c r="G787">
        <f t="shared" si="12"/>
        <v>23</v>
      </c>
      <c r="H787" t="str" cm="1">
        <f t="array" ref="H787">_xlfn.IFS(AND(G787&gt;=6,G787&lt;=12),"上",AND(G787&gt;=13,G787&lt;=18),"下",AND(G787&gt;=19,G787&lt;=24),"晚",AND(G787&lt;=5),"晚")</f>
        <v>晚</v>
      </c>
    </row>
    <row r="788" spans="1:8" x14ac:dyDescent="0.3">
      <c r="A788" s="2">
        <v>45018.458333333343</v>
      </c>
      <c r="B788">
        <v>25.81098037709366</v>
      </c>
      <c r="C788">
        <v>48.548819605512733</v>
      </c>
      <c r="D788">
        <v>273.58920656068199</v>
      </c>
      <c r="E788">
        <v>1.6543751563079621</v>
      </c>
      <c r="F788">
        <v>1.6472375840513009</v>
      </c>
      <c r="G788">
        <f t="shared" si="12"/>
        <v>11</v>
      </c>
      <c r="H788" t="str" cm="1">
        <f t="array" ref="H788">_xlfn.IFS(AND(G788&gt;=6,G788&lt;=12),"上",AND(G788&gt;=13,G788&lt;=18),"下",AND(G788&gt;=19,G788&lt;=24),"晚",AND(G788&lt;=5),"晚")</f>
        <v>上</v>
      </c>
    </row>
    <row r="789" spans="1:8" x14ac:dyDescent="0.3">
      <c r="A789" s="2">
        <v>45215.625</v>
      </c>
      <c r="B789">
        <v>23.864406798249892</v>
      </c>
      <c r="C789">
        <v>31.584699855119489</v>
      </c>
      <c r="D789">
        <v>510.74291126171801</v>
      </c>
      <c r="E789">
        <v>4.8852119070621427</v>
      </c>
      <c r="F789">
        <v>1.243370600060034</v>
      </c>
      <c r="G789">
        <f t="shared" si="12"/>
        <v>15</v>
      </c>
      <c r="H789" t="str" cm="1">
        <f t="array" ref="H789">_xlfn.IFS(AND(G789&gt;=6,G789&lt;=12),"上",AND(G789&gt;=13,G789&lt;=18),"下",AND(G789&gt;=19,G789&lt;=24),"晚",AND(G789&lt;=5),"晚")</f>
        <v>下</v>
      </c>
    </row>
    <row r="790" spans="1:8" x14ac:dyDescent="0.3">
      <c r="A790" s="2">
        <v>45286.416666666657</v>
      </c>
      <c r="B790">
        <v>26.814581014047238</v>
      </c>
      <c r="C790">
        <v>67.790686783129019</v>
      </c>
      <c r="D790">
        <v>656.27390659989078</v>
      </c>
      <c r="E790">
        <v>3.1099587790912682</v>
      </c>
      <c r="F790">
        <v>0.16272560614379211</v>
      </c>
      <c r="G790">
        <f t="shared" si="12"/>
        <v>10</v>
      </c>
      <c r="H790" t="str" cm="1">
        <f t="array" ref="H790">_xlfn.IFS(AND(G790&gt;=6,G790&lt;=12),"上",AND(G790&gt;=13,G790&lt;=18),"下",AND(G790&gt;=19,G790&lt;=24),"晚",AND(G790&lt;=5),"晚")</f>
        <v>上</v>
      </c>
    </row>
    <row r="791" spans="1:8" x14ac:dyDescent="0.3">
      <c r="A791" s="2">
        <v>45088.25</v>
      </c>
      <c r="B791">
        <v>22.401015056634311</v>
      </c>
      <c r="C791">
        <v>49.876831344913903</v>
      </c>
      <c r="D791">
        <v>262.87086379043961</v>
      </c>
      <c r="E791">
        <v>4.5431170472395568</v>
      </c>
      <c r="F791">
        <v>1.5981330136086129</v>
      </c>
      <c r="G791">
        <f t="shared" si="12"/>
        <v>6</v>
      </c>
      <c r="H791" t="str" cm="1">
        <f t="array" ref="H791">_xlfn.IFS(AND(G791&gt;=6,G791&lt;=12),"上",AND(G791&gt;=13,G791&lt;=18),"下",AND(G791&gt;=19,G791&lt;=24),"晚",AND(G791&lt;=5),"晚")</f>
        <v>上</v>
      </c>
    </row>
    <row r="792" spans="1:8" x14ac:dyDescent="0.3">
      <c r="A792" s="2">
        <v>44993.416666666657</v>
      </c>
      <c r="B792">
        <v>23.495512423681319</v>
      </c>
      <c r="C792">
        <v>49.438877898114612</v>
      </c>
      <c r="D792">
        <v>174.15417774475651</v>
      </c>
      <c r="E792">
        <v>2.1940247160812372</v>
      </c>
      <c r="F792">
        <v>0.84734491081402163</v>
      </c>
      <c r="G792">
        <f t="shared" si="12"/>
        <v>10</v>
      </c>
      <c r="H792" t="str" cm="1">
        <f t="array" ref="H792">_xlfn.IFS(AND(G792&gt;=6,G792&lt;=12),"上",AND(G792&gt;=13,G792&lt;=18),"下",AND(G792&gt;=19,G792&lt;=24),"晚",AND(G792&lt;=5),"晚")</f>
        <v>上</v>
      </c>
    </row>
    <row r="793" spans="1:8" x14ac:dyDescent="0.3">
      <c r="A793" s="2">
        <v>45228.333333333343</v>
      </c>
      <c r="B793">
        <v>20.71631122819802</v>
      </c>
      <c r="C793">
        <v>43.858026216001143</v>
      </c>
      <c r="D793">
        <v>886.34859951705732</v>
      </c>
      <c r="E793">
        <v>1.3546536267794571</v>
      </c>
      <c r="F793">
        <v>0.69681450306310055</v>
      </c>
      <c r="G793">
        <f t="shared" si="12"/>
        <v>8</v>
      </c>
      <c r="H793" t="str" cm="1">
        <f t="array" ref="H793">_xlfn.IFS(AND(G793&gt;=6,G793&lt;=12),"上",AND(G793&gt;=13,G793&lt;=18),"下",AND(G793&gt;=19,G793&lt;=24),"晚",AND(G793&lt;=5),"晚")</f>
        <v>上</v>
      </c>
    </row>
    <row r="794" spans="1:8" x14ac:dyDescent="0.3">
      <c r="A794" s="2">
        <v>45160.791666666657</v>
      </c>
      <c r="B794">
        <v>28.162301680574799</v>
      </c>
      <c r="C794">
        <v>55.405913419613363</v>
      </c>
      <c r="D794">
        <v>175.1089007672843</v>
      </c>
      <c r="E794">
        <v>4.5136086063904397</v>
      </c>
      <c r="F794">
        <v>1.0785918718178049</v>
      </c>
      <c r="G794">
        <f t="shared" si="12"/>
        <v>19</v>
      </c>
      <c r="H794" t="str" cm="1">
        <f t="array" ref="H794">_xlfn.IFS(AND(G794&gt;=6,G794&lt;=12),"上",AND(G794&gt;=13,G794&lt;=18),"下",AND(G794&gt;=19,G794&lt;=24),"晚",AND(G794&lt;=5),"晚")</f>
        <v>晚</v>
      </c>
    </row>
    <row r="795" spans="1:8" x14ac:dyDescent="0.3">
      <c r="A795" s="2">
        <v>45118.125</v>
      </c>
      <c r="B795">
        <v>20.709990922629942</v>
      </c>
      <c r="C795">
        <v>46.061704233803411</v>
      </c>
      <c r="D795">
        <v>611.84835913549387</v>
      </c>
      <c r="E795">
        <v>2.6662535281047832</v>
      </c>
      <c r="F795">
        <v>1.3759646301534501</v>
      </c>
      <c r="G795">
        <f t="shared" si="12"/>
        <v>3</v>
      </c>
      <c r="H795" t="str" cm="1">
        <f t="array" ref="H795">_xlfn.IFS(AND(G795&gt;=6,G795&lt;=12),"上",AND(G795&gt;=13,G795&lt;=18),"下",AND(G795&gt;=19,G795&lt;=24),"晚",AND(G795&lt;=5),"晚")</f>
        <v>晚</v>
      </c>
    </row>
    <row r="796" spans="1:8" x14ac:dyDescent="0.3">
      <c r="A796" s="2">
        <v>44958.75</v>
      </c>
      <c r="B796">
        <v>22.987968142454498</v>
      </c>
      <c r="C796">
        <v>59.979173971790388</v>
      </c>
      <c r="D796">
        <v>812.12716649555625</v>
      </c>
      <c r="E796">
        <v>2.7623102786347409</v>
      </c>
      <c r="F796">
        <v>1.857208117825728</v>
      </c>
      <c r="G796">
        <f t="shared" si="12"/>
        <v>18</v>
      </c>
      <c r="H796" t="str" cm="1">
        <f t="array" ref="H796">_xlfn.IFS(AND(G796&gt;=6,G796&lt;=12),"上",AND(G796&gt;=13,G796&lt;=18),"下",AND(G796&gt;=19,G796&lt;=24),"晚",AND(G796&lt;=5),"晚")</f>
        <v>下</v>
      </c>
    </row>
    <row r="797" spans="1:8" x14ac:dyDescent="0.3">
      <c r="A797" s="2">
        <v>44998.125</v>
      </c>
      <c r="B797">
        <v>29.256329124393531</v>
      </c>
      <c r="C797">
        <v>65.0633029467661</v>
      </c>
      <c r="D797">
        <v>250.7865843055971</v>
      </c>
      <c r="E797">
        <v>4.9341541713976893</v>
      </c>
      <c r="F797">
        <v>0.14943376885891721</v>
      </c>
      <c r="G797">
        <f t="shared" si="12"/>
        <v>3</v>
      </c>
      <c r="H797" t="str" cm="1">
        <f t="array" ref="H797">_xlfn.IFS(AND(G797&gt;=6,G797&lt;=12),"上",AND(G797&gt;=13,G797&lt;=18),"下",AND(G797&gt;=19,G797&lt;=24),"晚",AND(G797&lt;=5),"晚")</f>
        <v>晚</v>
      </c>
    </row>
    <row r="798" spans="1:8" x14ac:dyDescent="0.3">
      <c r="A798" s="2">
        <v>45203.583333333343</v>
      </c>
      <c r="B798">
        <v>25.59409684602505</v>
      </c>
      <c r="C798">
        <v>49.589258590650211</v>
      </c>
      <c r="D798">
        <v>681.68507480308313</v>
      </c>
      <c r="E798">
        <v>2.6353707425861801</v>
      </c>
      <c r="F798">
        <v>0.67887589415078364</v>
      </c>
      <c r="G798">
        <f t="shared" si="12"/>
        <v>14</v>
      </c>
      <c r="H798" t="str" cm="1">
        <f t="array" ref="H798">_xlfn.IFS(AND(G798&gt;=6,G798&lt;=12),"上",AND(G798&gt;=13,G798&lt;=18),"下",AND(G798&gt;=19,G798&lt;=24),"晚",AND(G798&lt;=5),"晚")</f>
        <v>下</v>
      </c>
    </row>
    <row r="799" spans="1:8" x14ac:dyDescent="0.3">
      <c r="A799" s="2">
        <v>45252.75</v>
      </c>
      <c r="B799">
        <v>22.178799196262261</v>
      </c>
      <c r="C799">
        <v>56.102093001401322</v>
      </c>
      <c r="D799">
        <v>757.55980383550047</v>
      </c>
      <c r="E799">
        <v>3.2947184043650739</v>
      </c>
      <c r="F799">
        <v>0.17684531179696469</v>
      </c>
      <c r="G799">
        <f t="shared" si="12"/>
        <v>18</v>
      </c>
      <c r="H799" t="str" cm="1">
        <f t="array" ref="H799">_xlfn.IFS(AND(G799&gt;=6,G799&lt;=12),"上",AND(G799&gt;=13,G799&lt;=18),"下",AND(G799&gt;=19,G799&lt;=24),"晚",AND(G799&lt;=5),"晚")</f>
        <v>下</v>
      </c>
    </row>
    <row r="800" spans="1:8" x14ac:dyDescent="0.3">
      <c r="A800" s="2">
        <v>45153.666666666657</v>
      </c>
      <c r="B800">
        <v>29.928871654632271</v>
      </c>
      <c r="C800">
        <v>41.821479713261922</v>
      </c>
      <c r="D800">
        <v>736.47219366787317</v>
      </c>
      <c r="E800">
        <v>3.9491645669371209</v>
      </c>
      <c r="F800">
        <v>1.7019495465198109</v>
      </c>
      <c r="G800">
        <f t="shared" si="12"/>
        <v>16</v>
      </c>
      <c r="H800" t="str" cm="1">
        <f t="array" ref="H800">_xlfn.IFS(AND(G800&gt;=6,G800&lt;=12),"上",AND(G800&gt;=13,G800&lt;=18),"下",AND(G800&gt;=19,G800&lt;=24),"晚",AND(G800&lt;=5),"晚")</f>
        <v>下</v>
      </c>
    </row>
    <row r="801" spans="1:8" x14ac:dyDescent="0.3">
      <c r="A801" s="2">
        <v>45185.875</v>
      </c>
      <c r="B801">
        <v>28.807294821624939</v>
      </c>
      <c r="C801">
        <v>55.016111921070021</v>
      </c>
      <c r="D801">
        <v>146.53875226334711</v>
      </c>
      <c r="E801">
        <v>1.9007937461147479</v>
      </c>
      <c r="F801">
        <v>1.43672183734077</v>
      </c>
      <c r="G801">
        <f t="shared" si="12"/>
        <v>21</v>
      </c>
      <c r="H801" t="str" cm="1">
        <f t="array" ref="H801">_xlfn.IFS(AND(G801&gt;=6,G801&lt;=12),"上",AND(G801&gt;=13,G801&lt;=18),"下",AND(G801&gt;=19,G801&lt;=24),"晚",AND(G801&lt;=5),"晚")</f>
        <v>晚</v>
      </c>
    </row>
    <row r="802" spans="1:8" x14ac:dyDescent="0.3">
      <c r="A802" s="2">
        <v>45172.125</v>
      </c>
      <c r="B802">
        <v>20.681802726723021</v>
      </c>
      <c r="C802">
        <v>55.409575741798591</v>
      </c>
      <c r="D802">
        <v>677.42979893012819</v>
      </c>
      <c r="E802">
        <v>2.078791683307343</v>
      </c>
      <c r="F802">
        <v>0.61408341478419837</v>
      </c>
      <c r="G802">
        <f t="shared" si="12"/>
        <v>3</v>
      </c>
      <c r="H802" t="str" cm="1">
        <f t="array" ref="H802">_xlfn.IFS(AND(G802&gt;=6,G802&lt;=12),"上",AND(G802&gt;=13,G802&lt;=18),"下",AND(G802&gt;=19,G802&lt;=24),"晚",AND(G802&lt;=5),"晚")</f>
        <v>晚</v>
      </c>
    </row>
    <row r="803" spans="1:8" x14ac:dyDescent="0.3">
      <c r="A803" s="2">
        <v>45283.125</v>
      </c>
      <c r="B803">
        <v>22.302850623342241</v>
      </c>
      <c r="C803">
        <v>50.478996998341927</v>
      </c>
      <c r="D803">
        <v>241.40451901482371</v>
      </c>
      <c r="E803">
        <v>3.9553015476897748</v>
      </c>
      <c r="F803">
        <v>1.5618299054453531</v>
      </c>
      <c r="G803">
        <f t="shared" si="12"/>
        <v>3</v>
      </c>
      <c r="H803" t="str" cm="1">
        <f t="array" ref="H803">_xlfn.IFS(AND(G803&gt;=6,G803&lt;=12),"上",AND(G803&gt;=13,G803&lt;=18),"下",AND(G803&gt;=19,G803&lt;=24),"晚",AND(G803&lt;=5),"晚")</f>
        <v>晚</v>
      </c>
    </row>
    <row r="804" spans="1:8" x14ac:dyDescent="0.3">
      <c r="A804" s="2">
        <v>44960.875</v>
      </c>
      <c r="B804">
        <v>26.422605933113189</v>
      </c>
      <c r="C804">
        <v>36.393842318722399</v>
      </c>
      <c r="D804">
        <v>371.76963065788777</v>
      </c>
      <c r="E804">
        <v>4.2285791404505737</v>
      </c>
      <c r="F804">
        <v>1.3034216476909379</v>
      </c>
      <c r="G804">
        <f t="shared" si="12"/>
        <v>21</v>
      </c>
      <c r="H804" t="str" cm="1">
        <f t="array" ref="H804">_xlfn.IFS(AND(G804&gt;=6,G804&lt;=12),"上",AND(G804&gt;=13,G804&lt;=18),"下",AND(G804&gt;=19,G804&lt;=24),"晚",AND(G804&lt;=5),"晚")</f>
        <v>晚</v>
      </c>
    </row>
    <row r="805" spans="1:8" x14ac:dyDescent="0.3">
      <c r="A805" s="2">
        <v>44977.416666666657</v>
      </c>
      <c r="B805">
        <v>21.988031570029619</v>
      </c>
      <c r="C805">
        <v>59.012394676621938</v>
      </c>
      <c r="D805">
        <v>935.93234042513757</v>
      </c>
      <c r="E805">
        <v>1.802385837268675</v>
      </c>
      <c r="F805">
        <v>1.3542480160025849</v>
      </c>
      <c r="G805">
        <f t="shared" si="12"/>
        <v>10</v>
      </c>
      <c r="H805" t="str" cm="1">
        <f t="array" ref="H805">_xlfn.IFS(AND(G805&gt;=6,G805&lt;=12),"上",AND(G805&gt;=13,G805&lt;=18),"下",AND(G805&gt;=19,G805&lt;=24),"晚",AND(G805&lt;=5),"晚")</f>
        <v>上</v>
      </c>
    </row>
    <row r="806" spans="1:8" x14ac:dyDescent="0.3">
      <c r="A806" s="2">
        <v>45033.333333333343</v>
      </c>
      <c r="B806">
        <v>25.371779333788918</v>
      </c>
      <c r="C806">
        <v>42.786564385306107</v>
      </c>
      <c r="D806">
        <v>147.00838985929661</v>
      </c>
      <c r="E806">
        <v>2.2349564533159878</v>
      </c>
      <c r="F806">
        <v>1.525816455196328</v>
      </c>
      <c r="G806">
        <f t="shared" si="12"/>
        <v>8</v>
      </c>
      <c r="H806" t="str" cm="1">
        <f t="array" ref="H806">_xlfn.IFS(AND(G806&gt;=6,G806&lt;=12),"上",AND(G806&gt;=13,G806&lt;=18),"下",AND(G806&gt;=19,G806&lt;=24),"晚",AND(G806&lt;=5),"晚")</f>
        <v>上</v>
      </c>
    </row>
    <row r="807" spans="1:8" x14ac:dyDescent="0.3">
      <c r="A807" s="2">
        <v>44985.958333333343</v>
      </c>
      <c r="B807">
        <v>21.658607607204651</v>
      </c>
      <c r="C807">
        <v>45.528591616041609</v>
      </c>
      <c r="D807">
        <v>875.5557880292647</v>
      </c>
      <c r="E807">
        <v>1.034885189646275</v>
      </c>
      <c r="F807">
        <v>0.4058568454207494</v>
      </c>
      <c r="G807">
        <f t="shared" si="12"/>
        <v>23</v>
      </c>
      <c r="H807" t="str" cm="1">
        <f t="array" ref="H807">_xlfn.IFS(AND(G807&gt;=6,G807&lt;=12),"上",AND(G807&gt;=13,G807&lt;=18),"下",AND(G807&gt;=19,G807&lt;=24),"晚",AND(G807&lt;=5),"晚")</f>
        <v>晚</v>
      </c>
    </row>
    <row r="808" spans="1:8" x14ac:dyDescent="0.3">
      <c r="A808" s="2">
        <v>44970.916666666657</v>
      </c>
      <c r="B808">
        <v>26.727055088706361</v>
      </c>
      <c r="C808">
        <v>64.061754089934567</v>
      </c>
      <c r="D808">
        <v>596.10480049160014</v>
      </c>
      <c r="E808">
        <v>2.5393308498091618</v>
      </c>
      <c r="F808">
        <v>1.240873646779195</v>
      </c>
      <c r="G808">
        <f t="shared" si="12"/>
        <v>22</v>
      </c>
      <c r="H808" t="str" cm="1">
        <f t="array" ref="H808">_xlfn.IFS(AND(G808&gt;=6,G808&lt;=12),"上",AND(G808&gt;=13,G808&lt;=18),"下",AND(G808&gt;=19,G808&lt;=24),"晚",AND(G808&lt;=5),"晚")</f>
        <v>晚</v>
      </c>
    </row>
    <row r="809" spans="1:8" x14ac:dyDescent="0.3">
      <c r="A809" s="2">
        <v>44935.333333333343</v>
      </c>
      <c r="B809">
        <v>25.312361169926771</v>
      </c>
      <c r="C809">
        <v>57.245002163621848</v>
      </c>
      <c r="D809">
        <v>128.1908727758335</v>
      </c>
      <c r="E809">
        <v>4.6044597026717717</v>
      </c>
      <c r="F809">
        <v>1.083521569502033</v>
      </c>
      <c r="G809">
        <f t="shared" si="12"/>
        <v>8</v>
      </c>
      <c r="H809" t="str" cm="1">
        <f t="array" ref="H809">_xlfn.IFS(AND(G809&gt;=6,G809&lt;=12),"上",AND(G809&gt;=13,G809&lt;=18),"下",AND(G809&gt;=19,G809&lt;=24),"晚",AND(G809&lt;=5),"晚")</f>
        <v>上</v>
      </c>
    </row>
    <row r="810" spans="1:8" x14ac:dyDescent="0.3">
      <c r="A810" s="2">
        <v>44943.416666666657</v>
      </c>
      <c r="B810">
        <v>29.69432243600199</v>
      </c>
      <c r="C810">
        <v>33.306835884998058</v>
      </c>
      <c r="D810">
        <v>778.59687777223394</v>
      </c>
      <c r="E810">
        <v>2.6053618641366931</v>
      </c>
      <c r="F810">
        <v>0.74690918831085917</v>
      </c>
      <c r="G810">
        <f t="shared" si="12"/>
        <v>10</v>
      </c>
      <c r="H810" t="str" cm="1">
        <f t="array" ref="H810">_xlfn.IFS(AND(G810&gt;=6,G810&lt;=12),"上",AND(G810&gt;=13,G810&lt;=18),"下",AND(G810&gt;=19,G810&lt;=24),"晚",AND(G810&lt;=5),"晚")</f>
        <v>上</v>
      </c>
    </row>
    <row r="811" spans="1:8" x14ac:dyDescent="0.3">
      <c r="A811" s="2">
        <v>45086.666666666657</v>
      </c>
      <c r="B811">
        <v>21.338132775497328</v>
      </c>
      <c r="C811">
        <v>52.615163539896933</v>
      </c>
      <c r="D811">
        <v>871.7518660228875</v>
      </c>
      <c r="E811">
        <v>4.0360596797624124</v>
      </c>
      <c r="F811">
        <v>1.4881852571686669</v>
      </c>
      <c r="G811">
        <f t="shared" si="12"/>
        <v>16</v>
      </c>
      <c r="H811" t="str" cm="1">
        <f t="array" ref="H811">_xlfn.IFS(AND(G811&gt;=6,G811&lt;=12),"上",AND(G811&gt;=13,G811&lt;=18),"下",AND(G811&gt;=19,G811&lt;=24),"晚",AND(G811&lt;=5),"晚")</f>
        <v>下</v>
      </c>
    </row>
    <row r="812" spans="1:8" x14ac:dyDescent="0.3">
      <c r="A812" s="2">
        <v>45021.041666666657</v>
      </c>
      <c r="B812">
        <v>25.307212491581222</v>
      </c>
      <c r="C812">
        <v>33.476804576338537</v>
      </c>
      <c r="D812">
        <v>511.796411955677</v>
      </c>
      <c r="E812">
        <v>1.229548195233755</v>
      </c>
      <c r="F812">
        <v>0.92505620833372004</v>
      </c>
      <c r="G812">
        <f t="shared" si="12"/>
        <v>1</v>
      </c>
      <c r="H812" t="str" cm="1">
        <f t="array" ref="H812">_xlfn.IFS(AND(G812&gt;=6,G812&lt;=12),"上",AND(G812&gt;=13,G812&lt;=18),"下",AND(G812&gt;=19,G812&lt;=24),"晚",AND(G812&lt;=5),"晚")</f>
        <v>晚</v>
      </c>
    </row>
    <row r="813" spans="1:8" x14ac:dyDescent="0.3">
      <c r="A813" s="2">
        <v>45094.541666666657</v>
      </c>
      <c r="B813">
        <v>23.117238896348951</v>
      </c>
      <c r="C813">
        <v>55.818259610150157</v>
      </c>
      <c r="D813">
        <v>812.6552728840328</v>
      </c>
      <c r="E813">
        <v>3.351578989858897</v>
      </c>
      <c r="F813">
        <v>0.99312935647003997</v>
      </c>
      <c r="G813">
        <f t="shared" si="12"/>
        <v>13</v>
      </c>
      <c r="H813" t="str" cm="1">
        <f t="array" ref="H813">_xlfn.IFS(AND(G813&gt;=6,G813&lt;=12),"上",AND(G813&gt;=13,G813&lt;=18),"下",AND(G813&gt;=19,G813&lt;=24),"晚",AND(G813&lt;=5),"晚")</f>
        <v>下</v>
      </c>
    </row>
    <row r="814" spans="1:8" x14ac:dyDescent="0.3">
      <c r="A814" s="2">
        <v>45269.708333333343</v>
      </c>
      <c r="B814">
        <v>26.126887629156769</v>
      </c>
      <c r="C814">
        <v>45.786092486428117</v>
      </c>
      <c r="D814">
        <v>919.42374718419137</v>
      </c>
      <c r="E814">
        <v>4.8161756559705307</v>
      </c>
      <c r="F814">
        <v>0.49754547499323382</v>
      </c>
      <c r="G814">
        <f t="shared" si="12"/>
        <v>17</v>
      </c>
      <c r="H814" t="str" cm="1">
        <f t="array" ref="H814">_xlfn.IFS(AND(G814&gt;=6,G814&lt;=12),"上",AND(G814&gt;=13,G814&lt;=18),"下",AND(G814&gt;=19,G814&lt;=24),"晚",AND(G814&lt;=5),"晚")</f>
        <v>下</v>
      </c>
    </row>
    <row r="815" spans="1:8" x14ac:dyDescent="0.3">
      <c r="A815" s="2">
        <v>44991</v>
      </c>
      <c r="B815">
        <v>22.03255540490207</v>
      </c>
      <c r="C815">
        <v>62.519958285764183</v>
      </c>
      <c r="D815">
        <v>611.40673718882158</v>
      </c>
      <c r="E815">
        <v>4.9375361526759312</v>
      </c>
      <c r="F815">
        <v>1.5040126344763509</v>
      </c>
      <c r="G815">
        <f t="shared" si="12"/>
        <v>0</v>
      </c>
      <c r="H815" t="str" cm="1">
        <f t="array" ref="H815">_xlfn.IFS(AND(G815&gt;=6,G815&lt;=12),"上",AND(G815&gt;=13,G815&lt;=18),"下",AND(G815&gt;=19,G815&lt;=24),"晚",AND(G815&lt;=5),"晚")</f>
        <v>晚</v>
      </c>
    </row>
    <row r="816" spans="1:8" x14ac:dyDescent="0.3">
      <c r="A816" s="2">
        <v>45002.916666666657</v>
      </c>
      <c r="B816">
        <v>29.253924603308459</v>
      </c>
      <c r="C816">
        <v>61.207152736652453</v>
      </c>
      <c r="D816">
        <v>925.02200099718004</v>
      </c>
      <c r="E816">
        <v>3.3136155292343341</v>
      </c>
      <c r="F816">
        <v>0.1201408418275739</v>
      </c>
      <c r="G816">
        <f t="shared" si="12"/>
        <v>22</v>
      </c>
      <c r="H816" t="str" cm="1">
        <f t="array" ref="H816">_xlfn.IFS(AND(G816&gt;=6,G816&lt;=12),"上",AND(G816&gt;=13,G816&lt;=18),"下",AND(G816&gt;=19,G816&lt;=24),"晚",AND(G816&lt;=5),"晚")</f>
        <v>晚</v>
      </c>
    </row>
    <row r="817" spans="1:8" x14ac:dyDescent="0.3">
      <c r="A817" s="2">
        <v>45143.708333333343</v>
      </c>
      <c r="B817">
        <v>24.379218171504618</v>
      </c>
      <c r="C817">
        <v>69.988335150997074</v>
      </c>
      <c r="D817">
        <v>475.27746642808052</v>
      </c>
      <c r="E817">
        <v>1.057275784458992</v>
      </c>
      <c r="F817">
        <v>1.0447420290305001</v>
      </c>
      <c r="G817">
        <f t="shared" si="12"/>
        <v>17</v>
      </c>
      <c r="H817" t="str" cm="1">
        <f t="array" ref="H817">_xlfn.IFS(AND(G817&gt;=6,G817&lt;=12),"上",AND(G817&gt;=13,G817&lt;=18),"下",AND(G817&gt;=19,G817&lt;=24),"晚",AND(G817&lt;=5),"晚")</f>
        <v>下</v>
      </c>
    </row>
    <row r="818" spans="1:8" x14ac:dyDescent="0.3">
      <c r="A818" s="2">
        <v>45207.958333333343</v>
      </c>
      <c r="B818">
        <v>24.317713808573579</v>
      </c>
      <c r="C818">
        <v>41.966810910108329</v>
      </c>
      <c r="D818">
        <v>830.67863139261101</v>
      </c>
      <c r="E818">
        <v>4.3595825718987884</v>
      </c>
      <c r="F818">
        <v>1.121525238276966</v>
      </c>
      <c r="G818">
        <f t="shared" si="12"/>
        <v>23</v>
      </c>
      <c r="H818" t="str" cm="1">
        <f t="array" ref="H818">_xlfn.IFS(AND(G818&gt;=6,G818&lt;=12),"上",AND(G818&gt;=13,G818&lt;=18),"下",AND(G818&gt;=19,G818&lt;=24),"晚",AND(G818&lt;=5),"晚")</f>
        <v>晚</v>
      </c>
    </row>
    <row r="819" spans="1:8" x14ac:dyDescent="0.3">
      <c r="A819" s="2">
        <v>45094.916666666657</v>
      </c>
      <c r="B819">
        <v>27.86325043156932</v>
      </c>
      <c r="C819">
        <v>37.003151830559688</v>
      </c>
      <c r="D819">
        <v>802.59939948589943</v>
      </c>
      <c r="E819">
        <v>3.938860742449815</v>
      </c>
      <c r="F819">
        <v>0.60841060287474635</v>
      </c>
      <c r="G819">
        <f t="shared" si="12"/>
        <v>22</v>
      </c>
      <c r="H819" t="str" cm="1">
        <f t="array" ref="H819">_xlfn.IFS(AND(G819&gt;=6,G819&lt;=12),"上",AND(G819&gt;=13,G819&lt;=18),"下",AND(G819&gt;=19,G819&lt;=24),"晚",AND(G819&lt;=5),"晚")</f>
        <v>晚</v>
      </c>
    </row>
    <row r="820" spans="1:8" x14ac:dyDescent="0.3">
      <c r="A820" s="2">
        <v>45289.416666666657</v>
      </c>
      <c r="B820">
        <v>29.075182697110812</v>
      </c>
      <c r="C820">
        <v>37.412729535363113</v>
      </c>
      <c r="D820">
        <v>747.03688517016155</v>
      </c>
      <c r="E820">
        <v>1.0987247309550441</v>
      </c>
      <c r="F820">
        <v>0.42019438370762557</v>
      </c>
      <c r="G820">
        <f t="shared" si="12"/>
        <v>10</v>
      </c>
      <c r="H820" t="str" cm="1">
        <f t="array" ref="H820">_xlfn.IFS(AND(G820&gt;=6,G820&lt;=12),"上",AND(G820&gt;=13,G820&lt;=18),"下",AND(G820&gt;=19,G820&lt;=24),"晚",AND(G820&lt;=5),"晚")</f>
        <v>上</v>
      </c>
    </row>
    <row r="821" spans="1:8" x14ac:dyDescent="0.3">
      <c r="A821" s="2">
        <v>45084.583333333343</v>
      </c>
      <c r="B821">
        <v>24.93973762071402</v>
      </c>
      <c r="C821">
        <v>53.956759467669137</v>
      </c>
      <c r="D821">
        <v>470.30143960302843</v>
      </c>
      <c r="E821">
        <v>4.0266475466669709</v>
      </c>
      <c r="F821">
        <v>0.76112636871102879</v>
      </c>
      <c r="G821">
        <f t="shared" si="12"/>
        <v>14</v>
      </c>
      <c r="H821" t="str" cm="1">
        <f t="array" ref="H821">_xlfn.IFS(AND(G821&gt;=6,G821&lt;=12),"上",AND(G821&gt;=13,G821&lt;=18),"下",AND(G821&gt;=19,G821&lt;=24),"晚",AND(G821&lt;=5),"晚")</f>
        <v>下</v>
      </c>
    </row>
    <row r="822" spans="1:8" x14ac:dyDescent="0.3">
      <c r="A822" s="2">
        <v>45021.083333333343</v>
      </c>
      <c r="B822">
        <v>27.71289228313459</v>
      </c>
      <c r="C822">
        <v>43.381766043129979</v>
      </c>
      <c r="D822">
        <v>521.40422013913917</v>
      </c>
      <c r="E822">
        <v>3.8779933344176749</v>
      </c>
      <c r="F822">
        <v>0.30114926545553822</v>
      </c>
      <c r="G822">
        <f t="shared" si="12"/>
        <v>2</v>
      </c>
      <c r="H822" t="str" cm="1">
        <f t="array" ref="H822">_xlfn.IFS(AND(G822&gt;=6,G822&lt;=12),"上",AND(G822&gt;=13,G822&lt;=18),"下",AND(G822&gt;=19,G822&lt;=24),"晚",AND(G822&lt;=5),"晚")</f>
        <v>晚</v>
      </c>
    </row>
    <row r="823" spans="1:8" x14ac:dyDescent="0.3">
      <c r="A823" s="2">
        <v>44940.791666666657</v>
      </c>
      <c r="B823">
        <v>21.439409634925319</v>
      </c>
      <c r="C823">
        <v>66.27419319597405</v>
      </c>
      <c r="D823">
        <v>288.45488928578891</v>
      </c>
      <c r="E823">
        <v>1.3863711769806299</v>
      </c>
      <c r="F823">
        <v>1.4702476572397081</v>
      </c>
      <c r="G823">
        <f t="shared" si="12"/>
        <v>19</v>
      </c>
      <c r="H823" t="str" cm="1">
        <f t="array" ref="H823">_xlfn.IFS(AND(G823&gt;=6,G823&lt;=12),"上",AND(G823&gt;=13,G823&lt;=18),"下",AND(G823&gt;=19,G823&lt;=24),"晚",AND(G823&lt;=5),"晚")</f>
        <v>晚</v>
      </c>
    </row>
    <row r="824" spans="1:8" x14ac:dyDescent="0.3">
      <c r="A824" s="2">
        <v>45022.416666666657</v>
      </c>
      <c r="B824">
        <v>22.524091112789382</v>
      </c>
      <c r="C824">
        <v>33.174250027858221</v>
      </c>
      <c r="D824">
        <v>350.27770669927378</v>
      </c>
      <c r="E824">
        <v>3.1455089846446591</v>
      </c>
      <c r="F824">
        <v>1.2041529614940589</v>
      </c>
      <c r="G824">
        <f t="shared" si="12"/>
        <v>10</v>
      </c>
      <c r="H824" t="str" cm="1">
        <f t="array" ref="H824">_xlfn.IFS(AND(G824&gt;=6,G824&lt;=12),"上",AND(G824&gt;=13,G824&lt;=18),"下",AND(G824&gt;=19,G824&lt;=24),"晚",AND(G824&lt;=5),"晚")</f>
        <v>上</v>
      </c>
    </row>
    <row r="825" spans="1:8" x14ac:dyDescent="0.3">
      <c r="A825" s="2">
        <v>45264.333333333343</v>
      </c>
      <c r="B825">
        <v>26.929903137003979</v>
      </c>
      <c r="C825">
        <v>60.592672476775753</v>
      </c>
      <c r="D825">
        <v>714.03413905629486</v>
      </c>
      <c r="E825">
        <v>3.195503909918469</v>
      </c>
      <c r="F825">
        <v>0.17936103833663111</v>
      </c>
      <c r="G825">
        <f t="shared" si="12"/>
        <v>8</v>
      </c>
      <c r="H825" t="str" cm="1">
        <f t="array" ref="H825">_xlfn.IFS(AND(G825&gt;=6,G825&lt;=12),"上",AND(G825&gt;=13,G825&lt;=18),"下",AND(G825&gt;=19,G825&lt;=24),"晚",AND(G825&lt;=5),"晚")</f>
        <v>上</v>
      </c>
    </row>
    <row r="826" spans="1:8" x14ac:dyDescent="0.3">
      <c r="A826" s="2">
        <v>45170.708333333343</v>
      </c>
      <c r="B826">
        <v>29.267471088454482</v>
      </c>
      <c r="C826">
        <v>49.588425801216211</v>
      </c>
      <c r="D826">
        <v>392.89485441790151</v>
      </c>
      <c r="E826">
        <v>4.5794198584391772</v>
      </c>
      <c r="F826">
        <v>1.912276624208928</v>
      </c>
      <c r="G826">
        <f t="shared" si="12"/>
        <v>17</v>
      </c>
      <c r="H826" t="str" cm="1">
        <f t="array" ref="H826">_xlfn.IFS(AND(G826&gt;=6,G826&lt;=12),"上",AND(G826&gt;=13,G826&lt;=18),"下",AND(G826&gt;=19,G826&lt;=24),"晚",AND(G826&lt;=5),"晚")</f>
        <v>下</v>
      </c>
    </row>
    <row r="827" spans="1:8" x14ac:dyDescent="0.3">
      <c r="A827" s="2">
        <v>45284.958333333343</v>
      </c>
      <c r="B827">
        <v>21.172087443791401</v>
      </c>
      <c r="C827">
        <v>55.497337440440333</v>
      </c>
      <c r="D827">
        <v>751.86667486646741</v>
      </c>
      <c r="E827">
        <v>2.7724889577382452</v>
      </c>
      <c r="F827">
        <v>1.566348121335555</v>
      </c>
      <c r="G827">
        <f t="shared" si="12"/>
        <v>23</v>
      </c>
      <c r="H827" t="str" cm="1">
        <f t="array" ref="H827">_xlfn.IFS(AND(G827&gt;=6,G827&lt;=12),"上",AND(G827&gt;=13,G827&lt;=18),"下",AND(G827&gt;=19,G827&lt;=24),"晚",AND(G827&lt;=5),"晚")</f>
        <v>晚</v>
      </c>
    </row>
    <row r="828" spans="1:8" x14ac:dyDescent="0.3">
      <c r="A828" s="2">
        <v>45186</v>
      </c>
      <c r="B828">
        <v>21.34387193685405</v>
      </c>
      <c r="C828">
        <v>53.512969781990421</v>
      </c>
      <c r="D828">
        <v>661.96940541707295</v>
      </c>
      <c r="E828">
        <v>3.2366302400643399</v>
      </c>
      <c r="F828">
        <v>1.951340591067227</v>
      </c>
      <c r="G828">
        <f t="shared" si="12"/>
        <v>0</v>
      </c>
      <c r="H828" t="str" cm="1">
        <f t="array" ref="H828">_xlfn.IFS(AND(G828&gt;=6,G828&lt;=12),"上",AND(G828&gt;=13,G828&lt;=18),"下",AND(G828&gt;=19,G828&lt;=24),"晚",AND(G828&lt;=5),"晚")</f>
        <v>晚</v>
      </c>
    </row>
    <row r="829" spans="1:8" x14ac:dyDescent="0.3">
      <c r="A829" s="2">
        <v>45171.333333333343</v>
      </c>
      <c r="B829">
        <v>29.75227237162045</v>
      </c>
      <c r="C829">
        <v>51.210344156966158</v>
      </c>
      <c r="D829">
        <v>420.81725173994857</v>
      </c>
      <c r="E829">
        <v>3.2037857650761872</v>
      </c>
      <c r="F829">
        <v>1.321263375149714</v>
      </c>
      <c r="G829">
        <f t="shared" si="12"/>
        <v>8</v>
      </c>
      <c r="H829" t="str" cm="1">
        <f t="array" ref="H829">_xlfn.IFS(AND(G829&gt;=6,G829&lt;=12),"上",AND(G829&gt;=13,G829&lt;=18),"下",AND(G829&gt;=19,G829&lt;=24),"晚",AND(G829&lt;=5),"晚")</f>
        <v>上</v>
      </c>
    </row>
    <row r="830" spans="1:8" x14ac:dyDescent="0.3">
      <c r="A830" s="2">
        <v>45079.708333333343</v>
      </c>
      <c r="B830">
        <v>20.912363591982562</v>
      </c>
      <c r="C830">
        <v>57.933894198735267</v>
      </c>
      <c r="D830">
        <v>250.85646657641391</v>
      </c>
      <c r="E830">
        <v>3.077503746315891</v>
      </c>
      <c r="F830">
        <v>1.8900160693571351</v>
      </c>
      <c r="G830">
        <f t="shared" si="12"/>
        <v>17</v>
      </c>
      <c r="H830" t="str" cm="1">
        <f t="array" ref="H830">_xlfn.IFS(AND(G830&gt;=6,G830&lt;=12),"上",AND(G830&gt;=13,G830&lt;=18),"下",AND(G830&gt;=19,G830&lt;=24),"晚",AND(G830&lt;=5),"晚")</f>
        <v>下</v>
      </c>
    </row>
    <row r="831" spans="1:8" x14ac:dyDescent="0.3">
      <c r="A831" s="2">
        <v>45081.416666666657</v>
      </c>
      <c r="B831">
        <v>20.42895897284016</v>
      </c>
      <c r="C831">
        <v>51.828253551432987</v>
      </c>
      <c r="D831">
        <v>387.77777704149872</v>
      </c>
      <c r="E831">
        <v>4.412633928405775</v>
      </c>
      <c r="F831">
        <v>1.625992443135448</v>
      </c>
      <c r="G831">
        <f t="shared" si="12"/>
        <v>10</v>
      </c>
      <c r="H831" t="str" cm="1">
        <f t="array" ref="H831">_xlfn.IFS(AND(G831&gt;=6,G831&lt;=12),"上",AND(G831&gt;=13,G831&lt;=18),"下",AND(G831&gt;=19,G831&lt;=24),"晚",AND(G831&lt;=5),"晚")</f>
        <v>上</v>
      </c>
    </row>
    <row r="832" spans="1:8" x14ac:dyDescent="0.3">
      <c r="A832" s="2">
        <v>45161.75</v>
      </c>
      <c r="B832">
        <v>25.317543354427279</v>
      </c>
      <c r="C832">
        <v>66.898867906904655</v>
      </c>
      <c r="D832">
        <v>428.70678227963299</v>
      </c>
      <c r="E832">
        <v>4.7865172782889251</v>
      </c>
      <c r="F832">
        <v>0.68646238746305299</v>
      </c>
      <c r="G832">
        <f t="shared" si="12"/>
        <v>18</v>
      </c>
      <c r="H832" t="str" cm="1">
        <f t="array" ref="H832">_xlfn.IFS(AND(G832&gt;=6,G832&lt;=12),"上",AND(G832&gt;=13,G832&lt;=18),"下",AND(G832&gt;=19,G832&lt;=24),"晚",AND(G832&lt;=5),"晚")</f>
        <v>下</v>
      </c>
    </row>
    <row r="833" spans="1:8" x14ac:dyDescent="0.3">
      <c r="A833" s="2">
        <v>44972.875</v>
      </c>
      <c r="B833">
        <v>22.244113209506789</v>
      </c>
      <c r="C833">
        <v>52.067103435897501</v>
      </c>
      <c r="D833">
        <v>681.20396269395212</v>
      </c>
      <c r="E833">
        <v>4.6596879544808889</v>
      </c>
      <c r="F833">
        <v>1.5328810000018041</v>
      </c>
      <c r="G833">
        <f t="shared" si="12"/>
        <v>21</v>
      </c>
      <c r="H833" t="str" cm="1">
        <f t="array" ref="H833">_xlfn.IFS(AND(G833&gt;=6,G833&lt;=12),"上",AND(G833&gt;=13,G833&lt;=18),"下",AND(G833&gt;=19,G833&lt;=24),"晚",AND(G833&lt;=5),"晚")</f>
        <v>晚</v>
      </c>
    </row>
    <row r="834" spans="1:8" x14ac:dyDescent="0.3">
      <c r="A834" s="2">
        <v>45288.75</v>
      </c>
      <c r="B834">
        <v>22.9762656768341</v>
      </c>
      <c r="C834">
        <v>66.786629296665723</v>
      </c>
      <c r="D834">
        <v>155.63991777679061</v>
      </c>
      <c r="E834">
        <v>1.7858065742117859</v>
      </c>
      <c r="F834">
        <v>0.33105238218526167</v>
      </c>
      <c r="G834">
        <f t="shared" si="12"/>
        <v>18</v>
      </c>
      <c r="H834" t="str" cm="1">
        <f t="array" ref="H834">_xlfn.IFS(AND(G834&gt;=6,G834&lt;=12),"上",AND(G834&gt;=13,G834&lt;=18),"下",AND(G834&gt;=19,G834&lt;=24),"晚",AND(G834&lt;=5),"晚")</f>
        <v>下</v>
      </c>
    </row>
    <row r="835" spans="1:8" x14ac:dyDescent="0.3">
      <c r="A835" s="2">
        <v>45002.125</v>
      </c>
      <c r="B835">
        <v>26.178936933811642</v>
      </c>
      <c r="C835">
        <v>62.25340310835071</v>
      </c>
      <c r="D835">
        <v>879.50350704108223</v>
      </c>
      <c r="E835">
        <v>4.4719993998731704</v>
      </c>
      <c r="F835">
        <v>1.062063777040879</v>
      </c>
      <c r="G835">
        <f t="shared" ref="G835:G898" si="13">HOUR(A835)</f>
        <v>3</v>
      </c>
      <c r="H835" t="str" cm="1">
        <f t="array" ref="H835">_xlfn.IFS(AND(G835&gt;=6,G835&lt;=12),"上",AND(G835&gt;=13,G835&lt;=18),"下",AND(G835&gt;=19,G835&lt;=24),"晚",AND(G835&lt;=5),"晚")</f>
        <v>晚</v>
      </c>
    </row>
    <row r="836" spans="1:8" x14ac:dyDescent="0.3">
      <c r="A836" s="2">
        <v>45142.083333333343</v>
      </c>
      <c r="B836">
        <v>23.512464366663689</v>
      </c>
      <c r="C836">
        <v>63.901914270168398</v>
      </c>
      <c r="D836">
        <v>662.77018430824489</v>
      </c>
      <c r="E836">
        <v>2.271019282041931</v>
      </c>
      <c r="F836">
        <v>1.8266670220726999</v>
      </c>
      <c r="G836">
        <f t="shared" si="13"/>
        <v>2</v>
      </c>
      <c r="H836" t="str" cm="1">
        <f t="array" ref="H836">_xlfn.IFS(AND(G836&gt;=6,G836&lt;=12),"上",AND(G836&gt;=13,G836&lt;=18),"下",AND(G836&gt;=19,G836&lt;=24),"晚",AND(G836&lt;=5),"晚")</f>
        <v>晚</v>
      </c>
    </row>
    <row r="837" spans="1:8" x14ac:dyDescent="0.3">
      <c r="A837" s="2">
        <v>44929.916666666657</v>
      </c>
      <c r="B837">
        <v>29.956542146624461</v>
      </c>
      <c r="C837">
        <v>65.89149896770634</v>
      </c>
      <c r="D837">
        <v>147.85982186280671</v>
      </c>
      <c r="E837">
        <v>1.0512460086663731</v>
      </c>
      <c r="F837">
        <v>1.0967787274989269</v>
      </c>
      <c r="G837">
        <f t="shared" si="13"/>
        <v>22</v>
      </c>
      <c r="H837" t="str" cm="1">
        <f t="array" ref="H837">_xlfn.IFS(AND(G837&gt;=6,G837&lt;=12),"上",AND(G837&gt;=13,G837&lt;=18),"下",AND(G837&gt;=19,G837&lt;=24),"晚",AND(G837&lt;=5),"晚")</f>
        <v>晚</v>
      </c>
    </row>
    <row r="838" spans="1:8" x14ac:dyDescent="0.3">
      <c r="A838" s="2">
        <v>44954.583333333343</v>
      </c>
      <c r="B838">
        <v>22.282210315043109</v>
      </c>
      <c r="C838">
        <v>38.102256913798612</v>
      </c>
      <c r="D838">
        <v>326.31027587121838</v>
      </c>
      <c r="E838">
        <v>3.1324971139488169</v>
      </c>
      <c r="F838">
        <v>1.8987526658624549</v>
      </c>
      <c r="G838">
        <f t="shared" si="13"/>
        <v>14</v>
      </c>
      <c r="H838" t="str" cm="1">
        <f t="array" ref="H838">_xlfn.IFS(AND(G838&gt;=6,G838&lt;=12),"上",AND(G838&gt;=13,G838&lt;=18),"下",AND(G838&gt;=19,G838&lt;=24),"晚",AND(G838&lt;=5),"晚")</f>
        <v>下</v>
      </c>
    </row>
    <row r="839" spans="1:8" x14ac:dyDescent="0.3">
      <c r="A839" s="2">
        <v>45221.125</v>
      </c>
      <c r="B839">
        <v>28.65275405155818</v>
      </c>
      <c r="C839">
        <v>43.702184716281593</v>
      </c>
      <c r="D839">
        <v>235.54566043543011</v>
      </c>
      <c r="E839">
        <v>1.377092641741632</v>
      </c>
      <c r="F839">
        <v>0.82536494289943252</v>
      </c>
      <c r="G839">
        <f t="shared" si="13"/>
        <v>3</v>
      </c>
      <c r="H839" t="str" cm="1">
        <f t="array" ref="H839">_xlfn.IFS(AND(G839&gt;=6,G839&lt;=12),"上",AND(G839&gt;=13,G839&lt;=18),"下",AND(G839&gt;=19,G839&lt;=24),"晚",AND(G839&lt;=5),"晚")</f>
        <v>晚</v>
      </c>
    </row>
    <row r="840" spans="1:8" x14ac:dyDescent="0.3">
      <c r="A840" s="2">
        <v>45289.458333333343</v>
      </c>
      <c r="B840">
        <v>28.752227692976199</v>
      </c>
      <c r="C840">
        <v>65.974958103027177</v>
      </c>
      <c r="D840">
        <v>623.65650976766779</v>
      </c>
      <c r="E840">
        <v>2.9972329579164718</v>
      </c>
      <c r="F840">
        <v>1.095891793277628</v>
      </c>
      <c r="G840">
        <f t="shared" si="13"/>
        <v>11</v>
      </c>
      <c r="H840" t="str" cm="1">
        <f t="array" ref="H840">_xlfn.IFS(AND(G840&gt;=6,G840&lt;=12),"上",AND(G840&gt;=13,G840&lt;=18),"下",AND(G840&gt;=19,G840&lt;=24),"晚",AND(G840&lt;=5),"晚")</f>
        <v>上</v>
      </c>
    </row>
    <row r="841" spans="1:8" x14ac:dyDescent="0.3">
      <c r="A841" s="2">
        <v>45225.791666666657</v>
      </c>
      <c r="B841">
        <v>24.37586399018836</v>
      </c>
      <c r="C841">
        <v>35.968591660841859</v>
      </c>
      <c r="D841">
        <v>612.11482885644114</v>
      </c>
      <c r="E841">
        <v>3.9591017061235458</v>
      </c>
      <c r="F841">
        <v>1.182041382760278</v>
      </c>
      <c r="G841">
        <f t="shared" si="13"/>
        <v>19</v>
      </c>
      <c r="H841" t="str" cm="1">
        <f t="array" ref="H841">_xlfn.IFS(AND(G841&gt;=6,G841&lt;=12),"上",AND(G841&gt;=13,G841&lt;=18),"下",AND(G841&gt;=19,G841&lt;=24),"晚",AND(G841&lt;=5),"晚")</f>
        <v>晚</v>
      </c>
    </row>
    <row r="842" spans="1:8" x14ac:dyDescent="0.3">
      <c r="A842" s="2">
        <v>44969</v>
      </c>
      <c r="B842">
        <v>29.97336310379082</v>
      </c>
      <c r="C842">
        <v>49.605795686967141</v>
      </c>
      <c r="D842">
        <v>427.7862741481664</v>
      </c>
      <c r="E842">
        <v>4.3831003247106288</v>
      </c>
      <c r="F842">
        <v>1.924945598736695</v>
      </c>
      <c r="G842">
        <f t="shared" si="13"/>
        <v>0</v>
      </c>
      <c r="H842" t="str" cm="1">
        <f t="array" ref="H842">_xlfn.IFS(AND(G842&gt;=6,G842&lt;=12),"上",AND(G842&gt;=13,G842&lt;=18),"下",AND(G842&gt;=19,G842&lt;=24),"晚",AND(G842&lt;=5),"晚")</f>
        <v>晚</v>
      </c>
    </row>
    <row r="843" spans="1:8" x14ac:dyDescent="0.3">
      <c r="A843" s="2">
        <v>45287.833333333343</v>
      </c>
      <c r="B843">
        <v>22.828002999075249</v>
      </c>
      <c r="C843">
        <v>34.189941931106887</v>
      </c>
      <c r="D843">
        <v>783.79926285812405</v>
      </c>
      <c r="E843">
        <v>2.2912534831271141</v>
      </c>
      <c r="F843">
        <v>1.4445948747097179</v>
      </c>
      <c r="G843">
        <f t="shared" si="13"/>
        <v>20</v>
      </c>
      <c r="H843" t="str" cm="1">
        <f t="array" ref="H843">_xlfn.IFS(AND(G843&gt;=6,G843&lt;=12),"上",AND(G843&gt;=13,G843&lt;=18),"下",AND(G843&gt;=19,G843&lt;=24),"晚",AND(G843&lt;=5),"晚")</f>
        <v>晚</v>
      </c>
    </row>
    <row r="844" spans="1:8" x14ac:dyDescent="0.3">
      <c r="A844" s="2">
        <v>45165.916666666657</v>
      </c>
      <c r="B844">
        <v>20.91063737230413</v>
      </c>
      <c r="C844">
        <v>36.101872263212663</v>
      </c>
      <c r="D844">
        <v>155.5949458895208</v>
      </c>
      <c r="E844">
        <v>4.3552154355258512</v>
      </c>
      <c r="F844">
        <v>1.2301487333082499</v>
      </c>
      <c r="G844">
        <f t="shared" si="13"/>
        <v>22</v>
      </c>
      <c r="H844" t="str" cm="1">
        <f t="array" ref="H844">_xlfn.IFS(AND(G844&gt;=6,G844&lt;=12),"上",AND(G844&gt;=13,G844&lt;=18),"下",AND(G844&gt;=19,G844&lt;=24),"晚",AND(G844&lt;=5),"晚")</f>
        <v>晚</v>
      </c>
    </row>
    <row r="845" spans="1:8" x14ac:dyDescent="0.3">
      <c r="A845" s="2">
        <v>44934.333333333343</v>
      </c>
      <c r="B845">
        <v>25.671949745085879</v>
      </c>
      <c r="C845">
        <v>53.555571432949847</v>
      </c>
      <c r="D845">
        <v>844.63279926273731</v>
      </c>
      <c r="E845">
        <v>1.228520594221747</v>
      </c>
      <c r="F845">
        <v>0.2248472605160832</v>
      </c>
      <c r="G845">
        <f t="shared" si="13"/>
        <v>8</v>
      </c>
      <c r="H845" t="str" cm="1">
        <f t="array" ref="H845">_xlfn.IFS(AND(G845&gt;=6,G845&lt;=12),"上",AND(G845&gt;=13,G845&lt;=18),"下",AND(G845&gt;=19,G845&lt;=24),"晚",AND(G845&lt;=5),"晚")</f>
        <v>上</v>
      </c>
    </row>
    <row r="846" spans="1:8" x14ac:dyDescent="0.3">
      <c r="A846" s="2">
        <v>44972.125</v>
      </c>
      <c r="B846">
        <v>20.07471774647275</v>
      </c>
      <c r="C846">
        <v>45.844060624055807</v>
      </c>
      <c r="D846">
        <v>899.67531196894947</v>
      </c>
      <c r="E846">
        <v>3.4624857402316001</v>
      </c>
      <c r="F846">
        <v>0.52380798280904417</v>
      </c>
      <c r="G846">
        <f t="shared" si="13"/>
        <v>3</v>
      </c>
      <c r="H846" t="str" cm="1">
        <f t="array" ref="H846">_xlfn.IFS(AND(G846&gt;=6,G846&lt;=12),"上",AND(G846&gt;=13,G846&lt;=18),"下",AND(G846&gt;=19,G846&lt;=24),"晚",AND(G846&lt;=5),"晚")</f>
        <v>晚</v>
      </c>
    </row>
    <row r="847" spans="1:8" x14ac:dyDescent="0.3">
      <c r="A847" s="2">
        <v>45104.958333333343</v>
      </c>
      <c r="B847">
        <v>24.741637548881361</v>
      </c>
      <c r="C847">
        <v>46.947685024868328</v>
      </c>
      <c r="D847">
        <v>267.28845867288658</v>
      </c>
      <c r="E847">
        <v>2.3982789752347311</v>
      </c>
      <c r="F847">
        <v>0.33439138857991813</v>
      </c>
      <c r="G847">
        <f t="shared" si="13"/>
        <v>23</v>
      </c>
      <c r="H847" t="str" cm="1">
        <f t="array" ref="H847">_xlfn.IFS(AND(G847&gt;=6,G847&lt;=12),"上",AND(G847&gt;=13,G847&lt;=18),"下",AND(G847&gt;=19,G847&lt;=24),"晚",AND(G847&lt;=5),"晚")</f>
        <v>晚</v>
      </c>
    </row>
    <row r="848" spans="1:8" x14ac:dyDescent="0.3">
      <c r="A848" s="2">
        <v>45025.458333333343</v>
      </c>
      <c r="B848">
        <v>28.368037913632779</v>
      </c>
      <c r="C848">
        <v>50.325258070139967</v>
      </c>
      <c r="D848">
        <v>946.39990890262675</v>
      </c>
      <c r="E848">
        <v>3.1950081744092822</v>
      </c>
      <c r="F848">
        <v>1.071200833167822</v>
      </c>
      <c r="G848">
        <f t="shared" si="13"/>
        <v>11</v>
      </c>
      <c r="H848" t="str" cm="1">
        <f t="array" ref="H848">_xlfn.IFS(AND(G848&gt;=6,G848&lt;=12),"上",AND(G848&gt;=13,G848&lt;=18),"下",AND(G848&gt;=19,G848&lt;=24),"晚",AND(G848&lt;=5),"晚")</f>
        <v>上</v>
      </c>
    </row>
    <row r="849" spans="1:8" x14ac:dyDescent="0.3">
      <c r="A849" s="2">
        <v>45218.75</v>
      </c>
      <c r="B849">
        <v>24.197070758260839</v>
      </c>
      <c r="C849">
        <v>56.42911647986422</v>
      </c>
      <c r="D849">
        <v>759.12865137826748</v>
      </c>
      <c r="E849">
        <v>1.767791169386558</v>
      </c>
      <c r="F849">
        <v>1.982553207891949</v>
      </c>
      <c r="G849">
        <f t="shared" si="13"/>
        <v>18</v>
      </c>
      <c r="H849" t="str" cm="1">
        <f t="array" ref="H849">_xlfn.IFS(AND(G849&gt;=6,G849&lt;=12),"上",AND(G849&gt;=13,G849&lt;=18),"下",AND(G849&gt;=19,G849&lt;=24),"晚",AND(G849&lt;=5),"晚")</f>
        <v>下</v>
      </c>
    </row>
    <row r="850" spans="1:8" x14ac:dyDescent="0.3">
      <c r="A850" s="2">
        <v>45061.5</v>
      </c>
      <c r="B850">
        <v>22.039923690337801</v>
      </c>
      <c r="C850">
        <v>49.973178976819128</v>
      </c>
      <c r="D850">
        <v>904.10120932743632</v>
      </c>
      <c r="E850">
        <v>1.9249407121711219</v>
      </c>
      <c r="F850">
        <v>1.6913533682297519</v>
      </c>
      <c r="G850">
        <f t="shared" si="13"/>
        <v>12</v>
      </c>
      <c r="H850" t="str" cm="1">
        <f t="array" ref="H850">_xlfn.IFS(AND(G850&gt;=6,G850&lt;=12),"上",AND(G850&gt;=13,G850&lt;=18),"下",AND(G850&gt;=19,G850&lt;=24),"晚",AND(G850&lt;=5),"晚")</f>
        <v>上</v>
      </c>
    </row>
    <row r="851" spans="1:8" x14ac:dyDescent="0.3">
      <c r="A851" s="2">
        <v>44932.375</v>
      </c>
      <c r="B851">
        <v>22.556555505679189</v>
      </c>
      <c r="C851">
        <v>43.67089555908727</v>
      </c>
      <c r="D851">
        <v>812.33366934666844</v>
      </c>
      <c r="E851">
        <v>4.3455428881906624</v>
      </c>
      <c r="F851">
        <v>1.0287867097458989</v>
      </c>
      <c r="G851">
        <f t="shared" si="13"/>
        <v>9</v>
      </c>
      <c r="H851" t="str" cm="1">
        <f t="array" ref="H851">_xlfn.IFS(AND(G851&gt;=6,G851&lt;=12),"上",AND(G851&gt;=13,G851&lt;=18),"下",AND(G851&gt;=19,G851&lt;=24),"晚",AND(G851&lt;=5),"晚")</f>
        <v>上</v>
      </c>
    </row>
    <row r="852" spans="1:8" x14ac:dyDescent="0.3">
      <c r="A852" s="2">
        <v>45030.25</v>
      </c>
      <c r="B852">
        <v>29.138082273681881</v>
      </c>
      <c r="C852">
        <v>37.71233898888547</v>
      </c>
      <c r="D852">
        <v>161.12083514917211</v>
      </c>
      <c r="E852">
        <v>4.1903753358336946</v>
      </c>
      <c r="F852">
        <v>1.077347415738459</v>
      </c>
      <c r="G852">
        <f t="shared" si="13"/>
        <v>6</v>
      </c>
      <c r="H852" t="str" cm="1">
        <f t="array" ref="H852">_xlfn.IFS(AND(G852&gt;=6,G852&lt;=12),"上",AND(G852&gt;=13,G852&lt;=18),"下",AND(G852&gt;=19,G852&lt;=24),"晚",AND(G852&lt;=5),"晚")</f>
        <v>上</v>
      </c>
    </row>
    <row r="853" spans="1:8" x14ac:dyDescent="0.3">
      <c r="A853" s="2">
        <v>45248.833333333343</v>
      </c>
      <c r="B853">
        <v>26.622127041301269</v>
      </c>
      <c r="C853">
        <v>48.578925497832202</v>
      </c>
      <c r="D853">
        <v>322.20412667255118</v>
      </c>
      <c r="E853">
        <v>4.417307550555142</v>
      </c>
      <c r="F853">
        <v>0.1784871249054672</v>
      </c>
      <c r="G853">
        <f t="shared" si="13"/>
        <v>20</v>
      </c>
      <c r="H853" t="str" cm="1">
        <f t="array" ref="H853">_xlfn.IFS(AND(G853&gt;=6,G853&lt;=12),"上",AND(G853&gt;=13,G853&lt;=18),"下",AND(G853&gt;=19,G853&lt;=24),"晚",AND(G853&lt;=5),"晚")</f>
        <v>晚</v>
      </c>
    </row>
    <row r="854" spans="1:8" x14ac:dyDescent="0.3">
      <c r="A854" s="2">
        <v>45265.625</v>
      </c>
      <c r="B854">
        <v>21.613118662750249</v>
      </c>
      <c r="C854">
        <v>45.022121138176232</v>
      </c>
      <c r="D854">
        <v>865.79793473624636</v>
      </c>
      <c r="E854">
        <v>2.9135518780040619</v>
      </c>
      <c r="F854">
        <v>1.6870494078468281</v>
      </c>
      <c r="G854">
        <f t="shared" si="13"/>
        <v>15</v>
      </c>
      <c r="H854" t="str" cm="1">
        <f t="array" ref="H854">_xlfn.IFS(AND(G854&gt;=6,G854&lt;=12),"上",AND(G854&gt;=13,G854&lt;=18),"下",AND(G854&gt;=19,G854&lt;=24),"晚",AND(G854&lt;=5),"晚")</f>
        <v>下</v>
      </c>
    </row>
    <row r="855" spans="1:8" x14ac:dyDescent="0.3">
      <c r="A855" s="2">
        <v>45226.791666666657</v>
      </c>
      <c r="B855">
        <v>24.631934607494969</v>
      </c>
      <c r="C855">
        <v>62.617809673562007</v>
      </c>
      <c r="D855">
        <v>143.27769230389231</v>
      </c>
      <c r="E855">
        <v>3.64852627713084</v>
      </c>
      <c r="F855">
        <v>0.82547892011999879</v>
      </c>
      <c r="G855">
        <f t="shared" si="13"/>
        <v>19</v>
      </c>
      <c r="H855" t="str" cm="1">
        <f t="array" ref="H855">_xlfn.IFS(AND(G855&gt;=6,G855&lt;=12),"上",AND(G855&gt;=13,G855&lt;=18),"下",AND(G855&gt;=19,G855&lt;=24),"晚",AND(G855&lt;=5),"晚")</f>
        <v>晚</v>
      </c>
    </row>
    <row r="856" spans="1:8" x14ac:dyDescent="0.3">
      <c r="A856" s="2">
        <v>44949.041666666657</v>
      </c>
      <c r="B856">
        <v>26.14593793345415</v>
      </c>
      <c r="C856">
        <v>30.611887419497211</v>
      </c>
      <c r="D856">
        <v>738.28798971062349</v>
      </c>
      <c r="E856">
        <v>2.832766501581677</v>
      </c>
      <c r="F856">
        <v>0.15253825124262199</v>
      </c>
      <c r="G856">
        <f t="shared" si="13"/>
        <v>1</v>
      </c>
      <c r="H856" t="str" cm="1">
        <f t="array" ref="H856">_xlfn.IFS(AND(G856&gt;=6,G856&lt;=12),"上",AND(G856&gt;=13,G856&lt;=18),"下",AND(G856&gt;=19,G856&lt;=24),"晚",AND(G856&lt;=5),"晚")</f>
        <v>晚</v>
      </c>
    </row>
    <row r="857" spans="1:8" x14ac:dyDescent="0.3">
      <c r="A857" s="2">
        <v>45096.875</v>
      </c>
      <c r="B857">
        <v>25.051404107654751</v>
      </c>
      <c r="C857">
        <v>52.81591148455886</v>
      </c>
      <c r="D857">
        <v>713.21090250600639</v>
      </c>
      <c r="E857">
        <v>1.9964966308340071</v>
      </c>
      <c r="F857">
        <v>1.856162609921908</v>
      </c>
      <c r="G857">
        <f t="shared" si="13"/>
        <v>21</v>
      </c>
      <c r="H857" t="str" cm="1">
        <f t="array" ref="H857">_xlfn.IFS(AND(G857&gt;=6,G857&lt;=12),"上",AND(G857&gt;=13,G857&lt;=18),"下",AND(G857&gt;=19,G857&lt;=24),"晚",AND(G857&lt;=5),"晚")</f>
        <v>晚</v>
      </c>
    </row>
    <row r="858" spans="1:8" x14ac:dyDescent="0.3">
      <c r="A858" s="2">
        <v>44989.333333333343</v>
      </c>
      <c r="B858">
        <v>27.850888711009109</v>
      </c>
      <c r="C858">
        <v>54.738370599366348</v>
      </c>
      <c r="D858">
        <v>499.61041246171698</v>
      </c>
      <c r="E858">
        <v>1.0247908482253529</v>
      </c>
      <c r="F858">
        <v>0.93576585707840454</v>
      </c>
      <c r="G858">
        <f t="shared" si="13"/>
        <v>8</v>
      </c>
      <c r="H858" t="str" cm="1">
        <f t="array" ref="H858">_xlfn.IFS(AND(G858&gt;=6,G858&lt;=12),"上",AND(G858&gt;=13,G858&lt;=18),"下",AND(G858&gt;=19,G858&lt;=24),"晚",AND(G858&lt;=5),"晚")</f>
        <v>上</v>
      </c>
    </row>
    <row r="859" spans="1:8" x14ac:dyDescent="0.3">
      <c r="A859" s="2">
        <v>44930.541666666657</v>
      </c>
      <c r="B859">
        <v>20.062924527236859</v>
      </c>
      <c r="C859">
        <v>69.515861763155513</v>
      </c>
      <c r="D859">
        <v>617.34290043810165</v>
      </c>
      <c r="E859">
        <v>4.6792270229950201</v>
      </c>
      <c r="F859">
        <v>1.3816860614451749</v>
      </c>
      <c r="G859">
        <f t="shared" si="13"/>
        <v>13</v>
      </c>
      <c r="H859" t="str" cm="1">
        <f t="array" ref="H859">_xlfn.IFS(AND(G859&gt;=6,G859&lt;=12),"上",AND(G859&gt;=13,G859&lt;=18),"下",AND(G859&gt;=19,G859&lt;=24),"晚",AND(G859&lt;=5),"晚")</f>
        <v>下</v>
      </c>
    </row>
    <row r="860" spans="1:8" x14ac:dyDescent="0.3">
      <c r="A860" s="2">
        <v>45033.958333333343</v>
      </c>
      <c r="B860">
        <v>22.81064349922563</v>
      </c>
      <c r="C860">
        <v>65.41456869842591</v>
      </c>
      <c r="D860">
        <v>334.4806490537527</v>
      </c>
      <c r="E860">
        <v>3.788413950912044</v>
      </c>
      <c r="F860">
        <v>1.126089922566448</v>
      </c>
      <c r="G860">
        <f t="shared" si="13"/>
        <v>23</v>
      </c>
      <c r="H860" t="str" cm="1">
        <f t="array" ref="H860">_xlfn.IFS(AND(G860&gt;=6,G860&lt;=12),"上",AND(G860&gt;=13,G860&lt;=18),"下",AND(G860&gt;=19,G860&lt;=24),"晚",AND(G860&lt;=5),"晚")</f>
        <v>晚</v>
      </c>
    </row>
    <row r="861" spans="1:8" x14ac:dyDescent="0.3">
      <c r="A861" s="2">
        <v>45135.625</v>
      </c>
      <c r="B861">
        <v>25.745907120790601</v>
      </c>
      <c r="C861">
        <v>50.702690901026067</v>
      </c>
      <c r="D861">
        <v>631.59320006533903</v>
      </c>
      <c r="E861">
        <v>4.1273271927564696</v>
      </c>
      <c r="F861">
        <v>1.600342757361088</v>
      </c>
      <c r="G861">
        <f t="shared" si="13"/>
        <v>15</v>
      </c>
      <c r="H861" t="str" cm="1">
        <f t="array" ref="H861">_xlfn.IFS(AND(G861&gt;=6,G861&lt;=12),"上",AND(G861&gt;=13,G861&lt;=18),"下",AND(G861&gt;=19,G861&lt;=24),"晚",AND(G861&lt;=5),"晚")</f>
        <v>下</v>
      </c>
    </row>
    <row r="862" spans="1:8" x14ac:dyDescent="0.3">
      <c r="A862" s="2">
        <v>44967.375</v>
      </c>
      <c r="B862">
        <v>25.388997537701051</v>
      </c>
      <c r="C862">
        <v>41.540618104868507</v>
      </c>
      <c r="D862">
        <v>719.27390079591987</v>
      </c>
      <c r="E862">
        <v>1.296454187226014</v>
      </c>
      <c r="F862">
        <v>1.9285205686157481</v>
      </c>
      <c r="G862">
        <f t="shared" si="13"/>
        <v>9</v>
      </c>
      <c r="H862" t="str" cm="1">
        <f t="array" ref="H862">_xlfn.IFS(AND(G862&gt;=6,G862&lt;=12),"上",AND(G862&gt;=13,G862&lt;=18),"下",AND(G862&gt;=19,G862&lt;=24),"晚",AND(G862&lt;=5),"晚")</f>
        <v>上</v>
      </c>
    </row>
    <row r="863" spans="1:8" x14ac:dyDescent="0.3">
      <c r="A863" s="2">
        <v>45275.291666666657</v>
      </c>
      <c r="B863">
        <v>21.040801969440459</v>
      </c>
      <c r="C863">
        <v>30.407399964469271</v>
      </c>
      <c r="D863">
        <v>447.05811663738473</v>
      </c>
      <c r="E863">
        <v>4.5316417332223136</v>
      </c>
      <c r="F863">
        <v>1.279834595543996</v>
      </c>
      <c r="G863">
        <f t="shared" si="13"/>
        <v>7</v>
      </c>
      <c r="H863" t="str" cm="1">
        <f t="array" ref="H863">_xlfn.IFS(AND(G863&gt;=6,G863&lt;=12),"上",AND(G863&gt;=13,G863&lt;=18),"下",AND(G863&gt;=19,G863&lt;=24),"晚",AND(G863&lt;=5),"晚")</f>
        <v>上</v>
      </c>
    </row>
    <row r="864" spans="1:8" x14ac:dyDescent="0.3">
      <c r="A864" s="2">
        <v>45210.541666666657</v>
      </c>
      <c r="B864">
        <v>21.752161101276052</v>
      </c>
      <c r="C864">
        <v>39.631231138530147</v>
      </c>
      <c r="D864">
        <v>233.2264116232183</v>
      </c>
      <c r="E864">
        <v>1.58693839799975</v>
      </c>
      <c r="F864">
        <v>0.32214633345010751</v>
      </c>
      <c r="G864">
        <f t="shared" si="13"/>
        <v>13</v>
      </c>
      <c r="H864" t="str" cm="1">
        <f t="array" ref="H864">_xlfn.IFS(AND(G864&gt;=6,G864&lt;=12),"上",AND(G864&gt;=13,G864&lt;=18),"下",AND(G864&gt;=19,G864&lt;=24),"晚",AND(G864&lt;=5),"晚")</f>
        <v>下</v>
      </c>
    </row>
    <row r="865" spans="1:8" x14ac:dyDescent="0.3">
      <c r="A865" s="2">
        <v>45260.833333333343</v>
      </c>
      <c r="B865">
        <v>27.52958723063567</v>
      </c>
      <c r="C865">
        <v>63.897415552806301</v>
      </c>
      <c r="D865">
        <v>950.45893180022347</v>
      </c>
      <c r="E865">
        <v>4.3721643439279401</v>
      </c>
      <c r="F865">
        <v>1.2176218764083011</v>
      </c>
      <c r="G865">
        <f t="shared" si="13"/>
        <v>20</v>
      </c>
      <c r="H865" t="str" cm="1">
        <f t="array" ref="H865">_xlfn.IFS(AND(G865&gt;=6,G865&lt;=12),"上",AND(G865&gt;=13,G865&lt;=18),"下",AND(G865&gt;=19,G865&lt;=24),"晚",AND(G865&lt;=5),"晚")</f>
        <v>晚</v>
      </c>
    </row>
    <row r="866" spans="1:8" x14ac:dyDescent="0.3">
      <c r="A866" s="2">
        <v>44932</v>
      </c>
      <c r="B866">
        <v>25.347854850226</v>
      </c>
      <c r="C866">
        <v>68.930249677273835</v>
      </c>
      <c r="D866">
        <v>990.55342371958113</v>
      </c>
      <c r="E866">
        <v>4.0588810439419198</v>
      </c>
      <c r="F866">
        <v>0.1602447174905762</v>
      </c>
      <c r="G866">
        <f t="shared" si="13"/>
        <v>0</v>
      </c>
      <c r="H866" t="str" cm="1">
        <f t="array" ref="H866">_xlfn.IFS(AND(G866&gt;=6,G866&lt;=12),"上",AND(G866&gt;=13,G866&lt;=18),"下",AND(G866&gt;=19,G866&lt;=24),"晚",AND(G866&lt;=5),"晚")</f>
        <v>晚</v>
      </c>
    </row>
    <row r="867" spans="1:8" x14ac:dyDescent="0.3">
      <c r="A867" s="2">
        <v>45085.5</v>
      </c>
      <c r="B867">
        <v>26.399673709743769</v>
      </c>
      <c r="C867">
        <v>58.042169667404757</v>
      </c>
      <c r="D867">
        <v>162.92725028909129</v>
      </c>
      <c r="E867">
        <v>3.9552728381908651</v>
      </c>
      <c r="F867">
        <v>0.75519818494669821</v>
      </c>
      <c r="G867">
        <f t="shared" si="13"/>
        <v>12</v>
      </c>
      <c r="H867" t="str" cm="1">
        <f t="array" ref="H867">_xlfn.IFS(AND(G867&gt;=6,G867&lt;=12),"上",AND(G867&gt;=13,G867&lt;=18),"下",AND(G867&gt;=19,G867&lt;=24),"晚",AND(G867&lt;=5),"晚")</f>
        <v>上</v>
      </c>
    </row>
    <row r="868" spans="1:8" x14ac:dyDescent="0.3">
      <c r="A868" s="2">
        <v>44981.208333333343</v>
      </c>
      <c r="B868">
        <v>28.167522208877049</v>
      </c>
      <c r="C868">
        <v>54.154168327907051</v>
      </c>
      <c r="D868">
        <v>150.08725858907249</v>
      </c>
      <c r="E868">
        <v>3.7487907243474239</v>
      </c>
      <c r="F868">
        <v>0.24057718910482501</v>
      </c>
      <c r="G868">
        <f t="shared" si="13"/>
        <v>5</v>
      </c>
      <c r="H868" t="str" cm="1">
        <f t="array" ref="H868">_xlfn.IFS(AND(G868&gt;=6,G868&lt;=12),"上",AND(G868&gt;=13,G868&lt;=18),"下",AND(G868&gt;=19,G868&lt;=24),"晚",AND(G868&lt;=5),"晚")</f>
        <v>晚</v>
      </c>
    </row>
    <row r="869" spans="1:8" x14ac:dyDescent="0.3">
      <c r="A869" s="2">
        <v>45121.708333333343</v>
      </c>
      <c r="B869">
        <v>25.838266818344579</v>
      </c>
      <c r="C869">
        <v>54.249365263635767</v>
      </c>
      <c r="D869">
        <v>426.40974405425789</v>
      </c>
      <c r="E869">
        <v>1.8100068428911029</v>
      </c>
      <c r="F869">
        <v>0.64284976529901439</v>
      </c>
      <c r="G869">
        <f t="shared" si="13"/>
        <v>17</v>
      </c>
      <c r="H869" t="str" cm="1">
        <f t="array" ref="H869">_xlfn.IFS(AND(G869&gt;=6,G869&lt;=12),"上",AND(G869&gt;=13,G869&lt;=18),"下",AND(G869&gt;=19,G869&lt;=24),"晚",AND(G869&lt;=5),"晚")</f>
        <v>下</v>
      </c>
    </row>
    <row r="870" spans="1:8" x14ac:dyDescent="0.3">
      <c r="A870" s="2">
        <v>45259.541666666657</v>
      </c>
      <c r="B870">
        <v>23.13949416588606</v>
      </c>
      <c r="C870">
        <v>55.996305165472272</v>
      </c>
      <c r="D870">
        <v>945.52231576066868</v>
      </c>
      <c r="E870">
        <v>3.631163792011487</v>
      </c>
      <c r="F870">
        <v>1.8075847995325871</v>
      </c>
      <c r="G870">
        <f t="shared" si="13"/>
        <v>13</v>
      </c>
      <c r="H870" t="str" cm="1">
        <f t="array" ref="H870">_xlfn.IFS(AND(G870&gt;=6,G870&lt;=12),"上",AND(G870&gt;=13,G870&lt;=18),"下",AND(G870&gt;=19,G870&lt;=24),"晚",AND(G870&lt;=5),"晚")</f>
        <v>下</v>
      </c>
    </row>
    <row r="871" spans="1:8" x14ac:dyDescent="0.3">
      <c r="A871" s="2">
        <v>45144.208333333343</v>
      </c>
      <c r="B871">
        <v>25.232502936403161</v>
      </c>
      <c r="C871">
        <v>30.071564745865569</v>
      </c>
      <c r="D871">
        <v>441.97088278788931</v>
      </c>
      <c r="E871">
        <v>1.434361361745141</v>
      </c>
      <c r="F871">
        <v>0.50250924005156705</v>
      </c>
      <c r="G871">
        <f t="shared" si="13"/>
        <v>5</v>
      </c>
      <c r="H871" t="str" cm="1">
        <f t="array" ref="H871">_xlfn.IFS(AND(G871&gt;=6,G871&lt;=12),"上",AND(G871&gt;=13,G871&lt;=18),"下",AND(G871&gt;=19,G871&lt;=24),"晚",AND(G871&lt;=5),"晚")</f>
        <v>晚</v>
      </c>
    </row>
    <row r="872" spans="1:8" x14ac:dyDescent="0.3">
      <c r="A872" s="2">
        <v>45102.083333333343</v>
      </c>
      <c r="B872">
        <v>21.303916954529399</v>
      </c>
      <c r="C872">
        <v>44.798336153402232</v>
      </c>
      <c r="D872">
        <v>305.93156205579498</v>
      </c>
      <c r="E872">
        <v>4.4384698180773352</v>
      </c>
      <c r="F872">
        <v>1.5867689900813799</v>
      </c>
      <c r="G872">
        <f t="shared" si="13"/>
        <v>2</v>
      </c>
      <c r="H872" t="str" cm="1">
        <f t="array" ref="H872">_xlfn.IFS(AND(G872&gt;=6,G872&lt;=12),"上",AND(G872&gt;=13,G872&lt;=18),"下",AND(G872&gt;=19,G872&lt;=24),"晚",AND(G872&lt;=5),"晚")</f>
        <v>晚</v>
      </c>
    </row>
    <row r="873" spans="1:8" x14ac:dyDescent="0.3">
      <c r="A873" s="2">
        <v>45109</v>
      </c>
      <c r="B873">
        <v>22.720772324994769</v>
      </c>
      <c r="C873">
        <v>43.171152884602698</v>
      </c>
      <c r="D873">
        <v>978.59706328878667</v>
      </c>
      <c r="E873">
        <v>1.8014828827061971</v>
      </c>
      <c r="F873">
        <v>0.85314370900160574</v>
      </c>
      <c r="G873">
        <f t="shared" si="13"/>
        <v>0</v>
      </c>
      <c r="H873" t="str" cm="1">
        <f t="array" ref="H873">_xlfn.IFS(AND(G873&gt;=6,G873&lt;=12),"上",AND(G873&gt;=13,G873&lt;=18),"下",AND(G873&gt;=19,G873&lt;=24),"晚",AND(G873&lt;=5),"晚")</f>
        <v>晚</v>
      </c>
    </row>
    <row r="874" spans="1:8" x14ac:dyDescent="0.3">
      <c r="A874" s="2">
        <v>45281</v>
      </c>
      <c r="B874">
        <v>26.55130402478305</v>
      </c>
      <c r="C874">
        <v>69.117327564209972</v>
      </c>
      <c r="D874">
        <v>310.20002027793038</v>
      </c>
      <c r="E874">
        <v>2.758421324646648</v>
      </c>
      <c r="F874">
        <v>0.80149263840881979</v>
      </c>
      <c r="G874">
        <f t="shared" si="13"/>
        <v>0</v>
      </c>
      <c r="H874" t="str" cm="1">
        <f t="array" ref="H874">_xlfn.IFS(AND(G874&gt;=6,G874&lt;=12),"上",AND(G874&gt;=13,G874&lt;=18),"下",AND(G874&gt;=19,G874&lt;=24),"晚",AND(G874&lt;=5),"晚")</f>
        <v>晚</v>
      </c>
    </row>
    <row r="875" spans="1:8" x14ac:dyDescent="0.3">
      <c r="A875" s="2">
        <v>45171.208333333343</v>
      </c>
      <c r="B875">
        <v>20.41111001141806</v>
      </c>
      <c r="C875">
        <v>30.029067961122632</v>
      </c>
      <c r="D875">
        <v>716.21276616756757</v>
      </c>
      <c r="E875">
        <v>4.6241779936505836</v>
      </c>
      <c r="F875">
        <v>1.7043484175709249</v>
      </c>
      <c r="G875">
        <f t="shared" si="13"/>
        <v>5</v>
      </c>
      <c r="H875" t="str" cm="1">
        <f t="array" ref="H875">_xlfn.IFS(AND(G875&gt;=6,G875&lt;=12),"上",AND(G875&gt;=13,G875&lt;=18),"下",AND(G875&gt;=19,G875&lt;=24),"晚",AND(G875&lt;=5),"晚")</f>
        <v>晚</v>
      </c>
    </row>
    <row r="876" spans="1:8" x14ac:dyDescent="0.3">
      <c r="A876" s="2">
        <v>45076.375</v>
      </c>
      <c r="B876">
        <v>20.008509340913879</v>
      </c>
      <c r="C876">
        <v>59.453788679065752</v>
      </c>
      <c r="D876">
        <v>200.5385836687671</v>
      </c>
      <c r="E876">
        <v>4.1817093263015579</v>
      </c>
      <c r="F876">
        <v>0.88406266893987684</v>
      </c>
      <c r="G876">
        <f t="shared" si="13"/>
        <v>9</v>
      </c>
      <c r="H876" t="str" cm="1">
        <f t="array" ref="H876">_xlfn.IFS(AND(G876&gt;=6,G876&lt;=12),"上",AND(G876&gt;=13,G876&lt;=18),"下",AND(G876&gt;=19,G876&lt;=24),"晚",AND(G876&lt;=5),"晚")</f>
        <v>上</v>
      </c>
    </row>
    <row r="877" spans="1:8" x14ac:dyDescent="0.3">
      <c r="A877" s="2">
        <v>44927.583333333343</v>
      </c>
      <c r="B877">
        <v>28.870724235370631</v>
      </c>
      <c r="C877">
        <v>46.21147646895956</v>
      </c>
      <c r="D877">
        <v>668.92687226911858</v>
      </c>
      <c r="E877">
        <v>1.152488997107195</v>
      </c>
      <c r="F877">
        <v>1.9665731454285511</v>
      </c>
      <c r="G877">
        <f t="shared" si="13"/>
        <v>14</v>
      </c>
      <c r="H877" t="str" cm="1">
        <f t="array" ref="H877">_xlfn.IFS(AND(G877&gt;=6,G877&lt;=12),"上",AND(G877&gt;=13,G877&lt;=18),"下",AND(G877&gt;=19,G877&lt;=24),"晚",AND(G877&lt;=5),"晚")</f>
        <v>下</v>
      </c>
    </row>
    <row r="878" spans="1:8" x14ac:dyDescent="0.3">
      <c r="A878" s="2">
        <v>44962.208333333343</v>
      </c>
      <c r="B878">
        <v>29.643288152633769</v>
      </c>
      <c r="C878">
        <v>32.590414981377108</v>
      </c>
      <c r="D878">
        <v>230.45713858963009</v>
      </c>
      <c r="E878">
        <v>2.9540246678745472</v>
      </c>
      <c r="F878">
        <v>0.47781293681233028</v>
      </c>
      <c r="G878">
        <f t="shared" si="13"/>
        <v>5</v>
      </c>
      <c r="H878" t="str" cm="1">
        <f t="array" ref="H878">_xlfn.IFS(AND(G878&gt;=6,G878&lt;=12),"上",AND(G878&gt;=13,G878&lt;=18),"下",AND(G878&gt;=19,G878&lt;=24),"晚",AND(G878&lt;=5),"晚")</f>
        <v>晚</v>
      </c>
    </row>
    <row r="879" spans="1:8" x14ac:dyDescent="0.3">
      <c r="A879" s="2">
        <v>45193.25</v>
      </c>
      <c r="B879">
        <v>29.0561266253113</v>
      </c>
      <c r="C879">
        <v>44.438114431749263</v>
      </c>
      <c r="D879">
        <v>350.83535814716788</v>
      </c>
      <c r="E879">
        <v>3.100584551253462</v>
      </c>
      <c r="F879">
        <v>1.771031277106426</v>
      </c>
      <c r="G879">
        <f t="shared" si="13"/>
        <v>6</v>
      </c>
      <c r="H879" t="str" cm="1">
        <f t="array" ref="H879">_xlfn.IFS(AND(G879&gt;=6,G879&lt;=12),"上",AND(G879&gt;=13,G879&lt;=18),"下",AND(G879&gt;=19,G879&lt;=24),"晚",AND(G879&lt;=5),"晚")</f>
        <v>上</v>
      </c>
    </row>
    <row r="880" spans="1:8" x14ac:dyDescent="0.3">
      <c r="A880" s="2">
        <v>45118.041666666657</v>
      </c>
      <c r="B880">
        <v>22.154615635363069</v>
      </c>
      <c r="C880">
        <v>35.113952406761669</v>
      </c>
      <c r="D880">
        <v>492.84936314093972</v>
      </c>
      <c r="E880">
        <v>4.3411328113904819</v>
      </c>
      <c r="F880">
        <v>0.61506559177965103</v>
      </c>
      <c r="G880">
        <f t="shared" si="13"/>
        <v>1</v>
      </c>
      <c r="H880" t="str" cm="1">
        <f t="array" ref="H880">_xlfn.IFS(AND(G880&gt;=6,G880&lt;=12),"上",AND(G880&gt;=13,G880&lt;=18),"下",AND(G880&gt;=19,G880&lt;=24),"晚",AND(G880&lt;=5),"晚")</f>
        <v>晚</v>
      </c>
    </row>
    <row r="881" spans="1:8" x14ac:dyDescent="0.3">
      <c r="A881" s="2">
        <v>45205.333333333343</v>
      </c>
      <c r="B881">
        <v>27.54657803587358</v>
      </c>
      <c r="C881">
        <v>31.494398540245619</v>
      </c>
      <c r="D881">
        <v>788.51518225436041</v>
      </c>
      <c r="E881">
        <v>3.387860850124353</v>
      </c>
      <c r="F881">
        <v>1.1550979452891921</v>
      </c>
      <c r="G881">
        <f t="shared" si="13"/>
        <v>8</v>
      </c>
      <c r="H881" t="str" cm="1">
        <f t="array" ref="H881">_xlfn.IFS(AND(G881&gt;=6,G881&lt;=12),"上",AND(G881&gt;=13,G881&lt;=18),"下",AND(G881&gt;=19,G881&lt;=24),"晚",AND(G881&lt;=5),"晚")</f>
        <v>上</v>
      </c>
    </row>
    <row r="882" spans="1:8" x14ac:dyDescent="0.3">
      <c r="A882" s="2">
        <v>44946.416666666657</v>
      </c>
      <c r="B882">
        <v>24.5646800063321</v>
      </c>
      <c r="C882">
        <v>57.338122491544183</v>
      </c>
      <c r="D882">
        <v>599.6425835314426</v>
      </c>
      <c r="E882">
        <v>1.263697814781287</v>
      </c>
      <c r="F882">
        <v>0.32767222773129762</v>
      </c>
      <c r="G882">
        <f t="shared" si="13"/>
        <v>10</v>
      </c>
      <c r="H882" t="str" cm="1">
        <f t="array" ref="H882">_xlfn.IFS(AND(G882&gt;=6,G882&lt;=12),"上",AND(G882&gt;=13,G882&lt;=18),"下",AND(G882&gt;=19,G882&lt;=24),"晚",AND(G882&lt;=5),"晚")</f>
        <v>上</v>
      </c>
    </row>
    <row r="883" spans="1:8" x14ac:dyDescent="0.3">
      <c r="A883" s="2">
        <v>45262.041666666657</v>
      </c>
      <c r="B883">
        <v>20.709438677124311</v>
      </c>
      <c r="C883">
        <v>30.98738296184262</v>
      </c>
      <c r="D883">
        <v>262.06810023950339</v>
      </c>
      <c r="E883">
        <v>2.6789233773205279</v>
      </c>
      <c r="F883">
        <v>0.18905835650802391</v>
      </c>
      <c r="G883">
        <f t="shared" si="13"/>
        <v>1</v>
      </c>
      <c r="H883" t="str" cm="1">
        <f t="array" ref="H883">_xlfn.IFS(AND(G883&gt;=6,G883&lt;=12),"上",AND(G883&gt;=13,G883&lt;=18),"下",AND(G883&gt;=19,G883&lt;=24),"晚",AND(G883&lt;=5),"晚")</f>
        <v>晚</v>
      </c>
    </row>
    <row r="884" spans="1:8" x14ac:dyDescent="0.3">
      <c r="A884" s="2">
        <v>45191.333333333343</v>
      </c>
      <c r="B884">
        <v>27.9498614510326</v>
      </c>
      <c r="C884">
        <v>30.478564160414759</v>
      </c>
      <c r="D884">
        <v>779.40805683507358</v>
      </c>
      <c r="E884">
        <v>3.6408014909488622</v>
      </c>
      <c r="F884">
        <v>0.80825799411231647</v>
      </c>
      <c r="G884">
        <f t="shared" si="13"/>
        <v>8</v>
      </c>
      <c r="H884" t="str" cm="1">
        <f t="array" ref="H884">_xlfn.IFS(AND(G884&gt;=6,G884&lt;=12),"上",AND(G884&gt;=13,G884&lt;=18),"下",AND(G884&gt;=19,G884&lt;=24),"晚",AND(G884&lt;=5),"晚")</f>
        <v>上</v>
      </c>
    </row>
    <row r="885" spans="1:8" x14ac:dyDescent="0.3">
      <c r="A885" s="2">
        <v>45060.541666666657</v>
      </c>
      <c r="B885">
        <v>28.081747566824031</v>
      </c>
      <c r="C885">
        <v>47.039360980646308</v>
      </c>
      <c r="D885">
        <v>673.95170155027904</v>
      </c>
      <c r="E885">
        <v>4.9521377730786327</v>
      </c>
      <c r="F885">
        <v>0.44063869141589712</v>
      </c>
      <c r="G885">
        <f t="shared" si="13"/>
        <v>13</v>
      </c>
      <c r="H885" t="str" cm="1">
        <f t="array" ref="H885">_xlfn.IFS(AND(G885&gt;=6,G885&lt;=12),"上",AND(G885&gt;=13,G885&lt;=18),"下",AND(G885&gt;=19,G885&lt;=24),"晚",AND(G885&lt;=5),"晚")</f>
        <v>下</v>
      </c>
    </row>
    <row r="886" spans="1:8" x14ac:dyDescent="0.3">
      <c r="A886" s="2">
        <v>45025.25</v>
      </c>
      <c r="B886">
        <v>27.219775071655562</v>
      </c>
      <c r="C886">
        <v>35.222613996023952</v>
      </c>
      <c r="D886">
        <v>117.3036307105377</v>
      </c>
      <c r="E886">
        <v>2.5363372059392808</v>
      </c>
      <c r="F886">
        <v>1.027586190239133</v>
      </c>
      <c r="G886">
        <f t="shared" si="13"/>
        <v>6</v>
      </c>
      <c r="H886" t="str" cm="1">
        <f t="array" ref="H886">_xlfn.IFS(AND(G886&gt;=6,G886&lt;=12),"上",AND(G886&gt;=13,G886&lt;=18),"下",AND(G886&gt;=19,G886&lt;=24),"晚",AND(G886&lt;=5),"晚")</f>
        <v>上</v>
      </c>
    </row>
    <row r="887" spans="1:8" x14ac:dyDescent="0.3">
      <c r="A887" s="2">
        <v>45182.583333333343</v>
      </c>
      <c r="B887">
        <v>29.965507499236121</v>
      </c>
      <c r="C887">
        <v>47.845104617187189</v>
      </c>
      <c r="D887">
        <v>159.03903044729881</v>
      </c>
      <c r="E887">
        <v>4.9383730422542182</v>
      </c>
      <c r="F887">
        <v>0.56168486672389106</v>
      </c>
      <c r="G887">
        <f t="shared" si="13"/>
        <v>14</v>
      </c>
      <c r="H887" t="str" cm="1">
        <f t="array" ref="H887">_xlfn.IFS(AND(G887&gt;=6,G887&lt;=12),"上",AND(G887&gt;=13,G887&lt;=18),"下",AND(G887&gt;=19,G887&lt;=24),"晚",AND(G887&lt;=5),"晚")</f>
        <v>下</v>
      </c>
    </row>
    <row r="888" spans="1:8" x14ac:dyDescent="0.3">
      <c r="A888" s="2">
        <v>45124.958333333343</v>
      </c>
      <c r="B888">
        <v>29.921171349526549</v>
      </c>
      <c r="C888">
        <v>44.641372716565883</v>
      </c>
      <c r="D888">
        <v>182.90529460212599</v>
      </c>
      <c r="E888">
        <v>3.1954434100141542</v>
      </c>
      <c r="F888">
        <v>0.17386005353885919</v>
      </c>
      <c r="G888">
        <f t="shared" si="13"/>
        <v>23</v>
      </c>
      <c r="H888" t="str" cm="1">
        <f t="array" ref="H888">_xlfn.IFS(AND(G888&gt;=6,G888&lt;=12),"上",AND(G888&gt;=13,G888&lt;=18),"下",AND(G888&gt;=19,G888&lt;=24),"晚",AND(G888&lt;=5),"晚")</f>
        <v>晚</v>
      </c>
    </row>
    <row r="889" spans="1:8" x14ac:dyDescent="0.3">
      <c r="A889" s="2">
        <v>45188.041666666657</v>
      </c>
      <c r="B889">
        <v>21.794204024474141</v>
      </c>
      <c r="C889">
        <v>34.091094121579687</v>
      </c>
      <c r="D889">
        <v>324.55567434016552</v>
      </c>
      <c r="E889">
        <v>2.8550162060986168</v>
      </c>
      <c r="F889">
        <v>1.464757221921918</v>
      </c>
      <c r="G889">
        <f t="shared" si="13"/>
        <v>1</v>
      </c>
      <c r="H889" t="str" cm="1">
        <f t="array" ref="H889">_xlfn.IFS(AND(G889&gt;=6,G889&lt;=12),"上",AND(G889&gt;=13,G889&lt;=18),"下",AND(G889&gt;=19,G889&lt;=24),"晚",AND(G889&lt;=5),"晚")</f>
        <v>晚</v>
      </c>
    </row>
    <row r="890" spans="1:8" x14ac:dyDescent="0.3">
      <c r="A890" s="2">
        <v>45143.791666666657</v>
      </c>
      <c r="B890">
        <v>27.954124637329599</v>
      </c>
      <c r="C890">
        <v>55.588287039588529</v>
      </c>
      <c r="D890">
        <v>349.04784611239569</v>
      </c>
      <c r="E890">
        <v>2.661736031306897</v>
      </c>
      <c r="F890">
        <v>0.73422055200189673</v>
      </c>
      <c r="G890">
        <f t="shared" si="13"/>
        <v>19</v>
      </c>
      <c r="H890" t="str" cm="1">
        <f t="array" ref="H890">_xlfn.IFS(AND(G890&gt;=6,G890&lt;=12),"上",AND(G890&gt;=13,G890&lt;=18),"下",AND(G890&gt;=19,G890&lt;=24),"晚",AND(G890&lt;=5),"晚")</f>
        <v>晚</v>
      </c>
    </row>
    <row r="891" spans="1:8" x14ac:dyDescent="0.3">
      <c r="A891" s="2">
        <v>44957.25</v>
      </c>
      <c r="B891">
        <v>26.5982409758277</v>
      </c>
      <c r="C891">
        <v>55.988887451943022</v>
      </c>
      <c r="D891">
        <v>709.7393807705314</v>
      </c>
      <c r="E891">
        <v>3.3173578422015439</v>
      </c>
      <c r="F891">
        <v>0.42737378227598583</v>
      </c>
      <c r="G891">
        <f t="shared" si="13"/>
        <v>6</v>
      </c>
      <c r="H891" t="str" cm="1">
        <f t="array" ref="H891">_xlfn.IFS(AND(G891&gt;=6,G891&lt;=12),"上",AND(G891&gt;=13,G891&lt;=18),"下",AND(G891&gt;=19,G891&lt;=24),"晚",AND(G891&lt;=5),"晚")</f>
        <v>上</v>
      </c>
    </row>
    <row r="892" spans="1:8" x14ac:dyDescent="0.3">
      <c r="A892" s="2">
        <v>44936.375</v>
      </c>
      <c r="B892">
        <v>27.264679366833111</v>
      </c>
      <c r="C892">
        <v>55.787116135298803</v>
      </c>
      <c r="D892">
        <v>685.29578204668894</v>
      </c>
      <c r="E892">
        <v>2.7141461281268842</v>
      </c>
      <c r="F892">
        <v>1.901149698181239</v>
      </c>
      <c r="G892">
        <f t="shared" si="13"/>
        <v>9</v>
      </c>
      <c r="H892" t="str" cm="1">
        <f t="array" ref="H892">_xlfn.IFS(AND(G892&gt;=6,G892&lt;=12),"上",AND(G892&gt;=13,G892&lt;=18),"下",AND(G892&gt;=19,G892&lt;=24),"晚",AND(G892&lt;=5),"晚")</f>
        <v>上</v>
      </c>
    </row>
    <row r="893" spans="1:8" x14ac:dyDescent="0.3">
      <c r="A893" s="2">
        <v>45073</v>
      </c>
      <c r="B893">
        <v>29.909005019524251</v>
      </c>
      <c r="C893">
        <v>64.58520040245547</v>
      </c>
      <c r="D893">
        <v>884.8028608445112</v>
      </c>
      <c r="E893">
        <v>2.5339023743311868</v>
      </c>
      <c r="F893">
        <v>1.02826241465343</v>
      </c>
      <c r="G893">
        <f t="shared" si="13"/>
        <v>0</v>
      </c>
      <c r="H893" t="str" cm="1">
        <f t="array" ref="H893">_xlfn.IFS(AND(G893&gt;=6,G893&lt;=12),"上",AND(G893&gt;=13,G893&lt;=18),"下",AND(G893&gt;=19,G893&lt;=24),"晚",AND(G893&lt;=5),"晚")</f>
        <v>晚</v>
      </c>
    </row>
    <row r="894" spans="1:8" x14ac:dyDescent="0.3">
      <c r="A894" s="2">
        <v>44977.25</v>
      </c>
      <c r="B894">
        <v>28.366192502605571</v>
      </c>
      <c r="C894">
        <v>30.270949629697931</v>
      </c>
      <c r="D894">
        <v>833.78306387608689</v>
      </c>
      <c r="E894">
        <v>4.9126759833956681</v>
      </c>
      <c r="F894">
        <v>1.169621142714748</v>
      </c>
      <c r="G894">
        <f t="shared" si="13"/>
        <v>6</v>
      </c>
      <c r="H894" t="str" cm="1">
        <f t="array" ref="H894">_xlfn.IFS(AND(G894&gt;=6,G894&lt;=12),"上",AND(G894&gt;=13,G894&lt;=18),"下",AND(G894&gt;=19,G894&lt;=24),"晚",AND(G894&lt;=5),"晚")</f>
        <v>上</v>
      </c>
    </row>
    <row r="895" spans="1:8" x14ac:dyDescent="0.3">
      <c r="A895" s="2">
        <v>44975.833333333343</v>
      </c>
      <c r="B895">
        <v>23.915172929450531</v>
      </c>
      <c r="C895">
        <v>31.109400839125669</v>
      </c>
      <c r="D895">
        <v>809.69580322519357</v>
      </c>
      <c r="E895">
        <v>2.9780333436480939</v>
      </c>
      <c r="F895">
        <v>1.9282247417502061</v>
      </c>
      <c r="G895">
        <f t="shared" si="13"/>
        <v>20</v>
      </c>
      <c r="H895" t="str" cm="1">
        <f t="array" ref="H895">_xlfn.IFS(AND(G895&gt;=6,G895&lt;=12),"上",AND(G895&gt;=13,G895&lt;=18),"下",AND(G895&gt;=19,G895&lt;=24),"晚",AND(G895&lt;=5),"晚")</f>
        <v>晚</v>
      </c>
    </row>
    <row r="896" spans="1:8" x14ac:dyDescent="0.3">
      <c r="A896" s="2">
        <v>44939.625</v>
      </c>
      <c r="B896">
        <v>29.3746562043364</v>
      </c>
      <c r="C896">
        <v>50.926611439284898</v>
      </c>
      <c r="D896">
        <v>630.01587774578672</v>
      </c>
      <c r="E896">
        <v>4.1207546355566427</v>
      </c>
      <c r="F896">
        <v>0.32449336083933039</v>
      </c>
      <c r="G896">
        <f t="shared" si="13"/>
        <v>15</v>
      </c>
      <c r="H896" t="str" cm="1">
        <f t="array" ref="H896">_xlfn.IFS(AND(G896&gt;=6,G896&lt;=12),"上",AND(G896&gt;=13,G896&lt;=18),"下",AND(G896&gt;=19,G896&lt;=24),"晚",AND(G896&lt;=5),"晚")</f>
        <v>下</v>
      </c>
    </row>
    <row r="897" spans="1:8" x14ac:dyDescent="0.3">
      <c r="A897" s="2">
        <v>45198.166666666657</v>
      </c>
      <c r="B897">
        <v>28.75165476141159</v>
      </c>
      <c r="C897">
        <v>48.640621121666463</v>
      </c>
      <c r="D897">
        <v>195.9694014518648</v>
      </c>
      <c r="E897">
        <v>3.0251934546754118</v>
      </c>
      <c r="F897">
        <v>0.44631176746436702</v>
      </c>
      <c r="G897">
        <f t="shared" si="13"/>
        <v>4</v>
      </c>
      <c r="H897" t="str" cm="1">
        <f t="array" ref="H897">_xlfn.IFS(AND(G897&gt;=6,G897&lt;=12),"上",AND(G897&gt;=13,G897&lt;=18),"下",AND(G897&gt;=19,G897&lt;=24),"晚",AND(G897&lt;=5),"晚")</f>
        <v>晚</v>
      </c>
    </row>
    <row r="898" spans="1:8" x14ac:dyDescent="0.3">
      <c r="A898" s="2">
        <v>45067.208333333343</v>
      </c>
      <c r="B898">
        <v>27.062335771512121</v>
      </c>
      <c r="C898">
        <v>69.622699012002698</v>
      </c>
      <c r="D898">
        <v>718.97368627592834</v>
      </c>
      <c r="E898">
        <v>1.92772627703036</v>
      </c>
      <c r="F898">
        <v>1.449389087251636</v>
      </c>
      <c r="G898">
        <f t="shared" si="13"/>
        <v>5</v>
      </c>
      <c r="H898" t="str" cm="1">
        <f t="array" ref="H898">_xlfn.IFS(AND(G898&gt;=6,G898&lt;=12),"上",AND(G898&gt;=13,G898&lt;=18),"下",AND(G898&gt;=19,G898&lt;=24),"晚",AND(G898&lt;=5),"晚")</f>
        <v>晚</v>
      </c>
    </row>
    <row r="899" spans="1:8" x14ac:dyDescent="0.3">
      <c r="A899" s="2">
        <v>45206.125</v>
      </c>
      <c r="B899">
        <v>29.369593329470121</v>
      </c>
      <c r="C899">
        <v>44.301442785967382</v>
      </c>
      <c r="D899">
        <v>372.08934594581422</v>
      </c>
      <c r="E899">
        <v>4.7934722454702126</v>
      </c>
      <c r="F899">
        <v>1.1654976395443539</v>
      </c>
      <c r="G899">
        <f t="shared" ref="G899:G962" si="14">HOUR(A899)</f>
        <v>3</v>
      </c>
      <c r="H899" t="str" cm="1">
        <f t="array" ref="H899">_xlfn.IFS(AND(G899&gt;=6,G899&lt;=12),"上",AND(G899&gt;=13,G899&lt;=18),"下",AND(G899&gt;=19,G899&lt;=24),"晚",AND(G899&lt;=5),"晚")</f>
        <v>晚</v>
      </c>
    </row>
    <row r="900" spans="1:8" x14ac:dyDescent="0.3">
      <c r="A900" s="2">
        <v>45031.458333333343</v>
      </c>
      <c r="B900">
        <v>24.622667656054851</v>
      </c>
      <c r="C900">
        <v>45.564167775054401</v>
      </c>
      <c r="D900">
        <v>805.05527536469015</v>
      </c>
      <c r="E900">
        <v>4.5252279717151458</v>
      </c>
      <c r="F900">
        <v>0.88901654944959341</v>
      </c>
      <c r="G900">
        <f t="shared" si="14"/>
        <v>11</v>
      </c>
      <c r="H900" t="str" cm="1">
        <f t="array" ref="H900">_xlfn.IFS(AND(G900&gt;=6,G900&lt;=12),"上",AND(G900&gt;=13,G900&lt;=18),"下",AND(G900&gt;=19,G900&lt;=24),"晚",AND(G900&lt;=5),"晚")</f>
        <v>上</v>
      </c>
    </row>
    <row r="901" spans="1:8" x14ac:dyDescent="0.3">
      <c r="A901" s="2">
        <v>44933.541666666657</v>
      </c>
      <c r="B901">
        <v>27.13256231917245</v>
      </c>
      <c r="C901">
        <v>63.428254769611208</v>
      </c>
      <c r="D901">
        <v>430.01810543203021</v>
      </c>
      <c r="E901">
        <v>1.5677335806740691</v>
      </c>
      <c r="F901">
        <v>0.3130945629954095</v>
      </c>
      <c r="G901">
        <f t="shared" si="14"/>
        <v>13</v>
      </c>
      <c r="H901" t="str" cm="1">
        <f t="array" ref="H901">_xlfn.IFS(AND(G901&gt;=6,G901&lt;=12),"上",AND(G901&gt;=13,G901&lt;=18),"下",AND(G901&gt;=19,G901&lt;=24),"晚",AND(G901&lt;=5),"晚")</f>
        <v>下</v>
      </c>
    </row>
    <row r="902" spans="1:8" x14ac:dyDescent="0.3">
      <c r="A902" s="2">
        <v>45255.416666666657</v>
      </c>
      <c r="B902">
        <v>20.040872947231481</v>
      </c>
      <c r="C902">
        <v>54.923687134556253</v>
      </c>
      <c r="D902">
        <v>220.9654314458642</v>
      </c>
      <c r="E902">
        <v>4.5399292708252847</v>
      </c>
      <c r="F902">
        <v>1.209524160603157</v>
      </c>
      <c r="G902">
        <f t="shared" si="14"/>
        <v>10</v>
      </c>
      <c r="H902" t="str" cm="1">
        <f t="array" ref="H902">_xlfn.IFS(AND(G902&gt;=6,G902&lt;=12),"上",AND(G902&gt;=13,G902&lt;=18),"下",AND(G902&gt;=19,G902&lt;=24),"晚",AND(G902&lt;=5),"晚")</f>
        <v>上</v>
      </c>
    </row>
    <row r="903" spans="1:8" x14ac:dyDescent="0.3">
      <c r="A903" s="2">
        <v>45244.833333333343</v>
      </c>
      <c r="B903">
        <v>25.685810818928001</v>
      </c>
      <c r="C903">
        <v>32.843004839934743</v>
      </c>
      <c r="D903">
        <v>644.77756952959294</v>
      </c>
      <c r="E903">
        <v>1.7880558846657819</v>
      </c>
      <c r="F903">
        <v>0.93874621459551988</v>
      </c>
      <c r="G903">
        <f t="shared" si="14"/>
        <v>20</v>
      </c>
      <c r="H903" t="str" cm="1">
        <f t="array" ref="H903">_xlfn.IFS(AND(G903&gt;=6,G903&lt;=12),"上",AND(G903&gt;=13,G903&lt;=18),"下",AND(G903&gt;=19,G903&lt;=24),"晚",AND(G903&lt;=5),"晚")</f>
        <v>晚</v>
      </c>
    </row>
    <row r="904" spans="1:8" x14ac:dyDescent="0.3">
      <c r="A904" s="2">
        <v>45282.125</v>
      </c>
      <c r="B904">
        <v>27.2368906610292</v>
      </c>
      <c r="C904">
        <v>32.306371793671381</v>
      </c>
      <c r="D904">
        <v>894.52487560419559</v>
      </c>
      <c r="E904">
        <v>3.2744533183003539</v>
      </c>
      <c r="F904">
        <v>1.3750258425205559</v>
      </c>
      <c r="G904">
        <f t="shared" si="14"/>
        <v>3</v>
      </c>
      <c r="H904" t="str" cm="1">
        <f t="array" ref="H904">_xlfn.IFS(AND(G904&gt;=6,G904&lt;=12),"上",AND(G904&gt;=13,G904&lt;=18),"下",AND(G904&gt;=19,G904&lt;=24),"晚",AND(G904&lt;=5),"晚")</f>
        <v>晚</v>
      </c>
    </row>
    <row r="905" spans="1:8" x14ac:dyDescent="0.3">
      <c r="A905" s="2">
        <v>45177.958333333343</v>
      </c>
      <c r="B905">
        <v>23.83011882498732</v>
      </c>
      <c r="C905">
        <v>51.142072119495829</v>
      </c>
      <c r="D905">
        <v>258.27230573583762</v>
      </c>
      <c r="E905">
        <v>4.7240609707865726</v>
      </c>
      <c r="F905">
        <v>0.67080124304538979</v>
      </c>
      <c r="G905">
        <f t="shared" si="14"/>
        <v>23</v>
      </c>
      <c r="H905" t="str" cm="1">
        <f t="array" ref="H905">_xlfn.IFS(AND(G905&gt;=6,G905&lt;=12),"上",AND(G905&gt;=13,G905&lt;=18),"下",AND(G905&gt;=19,G905&lt;=24),"晚",AND(G905&lt;=5),"晚")</f>
        <v>晚</v>
      </c>
    </row>
    <row r="906" spans="1:8" x14ac:dyDescent="0.3">
      <c r="A906" s="2">
        <v>45196.791666666657</v>
      </c>
      <c r="B906">
        <v>28.679182741729932</v>
      </c>
      <c r="C906">
        <v>45.870894073045889</v>
      </c>
      <c r="D906">
        <v>364.98332487333317</v>
      </c>
      <c r="E906">
        <v>3.2579726830871119</v>
      </c>
      <c r="F906">
        <v>0.86476910823564979</v>
      </c>
      <c r="G906">
        <f t="shared" si="14"/>
        <v>19</v>
      </c>
      <c r="H906" t="str" cm="1">
        <f t="array" ref="H906">_xlfn.IFS(AND(G906&gt;=6,G906&lt;=12),"上",AND(G906&gt;=13,G906&lt;=18),"下",AND(G906&gt;=19,G906&lt;=24),"晚",AND(G906&lt;=5),"晚")</f>
        <v>晚</v>
      </c>
    </row>
    <row r="907" spans="1:8" x14ac:dyDescent="0.3">
      <c r="A907" s="2">
        <v>45022.375</v>
      </c>
      <c r="B907">
        <v>24.850678073045948</v>
      </c>
      <c r="C907">
        <v>59.417253254006773</v>
      </c>
      <c r="D907">
        <v>337.9905845767334</v>
      </c>
      <c r="E907">
        <v>1.84651402817595</v>
      </c>
      <c r="F907">
        <v>0.6852311973814168</v>
      </c>
      <c r="G907">
        <f t="shared" si="14"/>
        <v>9</v>
      </c>
      <c r="H907" t="str" cm="1">
        <f t="array" ref="H907">_xlfn.IFS(AND(G907&gt;=6,G907&lt;=12),"上",AND(G907&gt;=13,G907&lt;=18),"下",AND(G907&gt;=19,G907&lt;=24),"晚",AND(G907&lt;=5),"晚")</f>
        <v>上</v>
      </c>
    </row>
    <row r="908" spans="1:8" x14ac:dyDescent="0.3">
      <c r="A908" s="2">
        <v>45160.125</v>
      </c>
      <c r="B908">
        <v>22.82551355838967</v>
      </c>
      <c r="C908">
        <v>55.122487383081172</v>
      </c>
      <c r="D908">
        <v>804.04944793600555</v>
      </c>
      <c r="E908">
        <v>2.05981580837883</v>
      </c>
      <c r="F908">
        <v>0.48177078420934011</v>
      </c>
      <c r="G908">
        <f t="shared" si="14"/>
        <v>3</v>
      </c>
      <c r="H908" t="str" cm="1">
        <f t="array" ref="H908">_xlfn.IFS(AND(G908&gt;=6,G908&lt;=12),"上",AND(G908&gt;=13,G908&lt;=18),"下",AND(G908&gt;=19,G908&lt;=24),"晚",AND(G908&lt;=5),"晚")</f>
        <v>晚</v>
      </c>
    </row>
    <row r="909" spans="1:8" x14ac:dyDescent="0.3">
      <c r="A909" s="2">
        <v>45204.666666666657</v>
      </c>
      <c r="B909">
        <v>25.49445025869662</v>
      </c>
      <c r="C909">
        <v>30.012261488445489</v>
      </c>
      <c r="D909">
        <v>236.96138316485559</v>
      </c>
      <c r="E909">
        <v>3.7142830482461151</v>
      </c>
      <c r="F909">
        <v>1.065226473201214</v>
      </c>
      <c r="G909">
        <f t="shared" si="14"/>
        <v>16</v>
      </c>
      <c r="H909" t="str" cm="1">
        <f t="array" ref="H909">_xlfn.IFS(AND(G909&gt;=6,G909&lt;=12),"上",AND(G909&gt;=13,G909&lt;=18),"下",AND(G909&gt;=19,G909&lt;=24),"晚",AND(G909&lt;=5),"晚")</f>
        <v>下</v>
      </c>
    </row>
    <row r="910" spans="1:8" x14ac:dyDescent="0.3">
      <c r="A910" s="2">
        <v>45159.416666666657</v>
      </c>
      <c r="B910">
        <v>29.055157676783569</v>
      </c>
      <c r="C910">
        <v>30.675106293164092</v>
      </c>
      <c r="D910">
        <v>496.35067749979618</v>
      </c>
      <c r="E910">
        <v>3.988158595225181</v>
      </c>
      <c r="F910">
        <v>1.6753636394635441</v>
      </c>
      <c r="G910">
        <f t="shared" si="14"/>
        <v>10</v>
      </c>
      <c r="H910" t="str" cm="1">
        <f t="array" ref="H910">_xlfn.IFS(AND(G910&gt;=6,G910&lt;=12),"上",AND(G910&gt;=13,G910&lt;=18),"下",AND(G910&gt;=19,G910&lt;=24),"晚",AND(G910&lt;=5),"晚")</f>
        <v>上</v>
      </c>
    </row>
    <row r="911" spans="1:8" x14ac:dyDescent="0.3">
      <c r="A911" s="2">
        <v>45270.458333333343</v>
      </c>
      <c r="B911">
        <v>26.824488655741739</v>
      </c>
      <c r="C911">
        <v>63.588579461013978</v>
      </c>
      <c r="D911">
        <v>438.94254848231969</v>
      </c>
      <c r="E911">
        <v>3.3670089426060961</v>
      </c>
      <c r="F911">
        <v>0.1654213681954729</v>
      </c>
      <c r="G911">
        <f t="shared" si="14"/>
        <v>11</v>
      </c>
      <c r="H911" t="str" cm="1">
        <f t="array" ref="H911">_xlfn.IFS(AND(G911&gt;=6,G911&lt;=12),"上",AND(G911&gt;=13,G911&lt;=18),"下",AND(G911&gt;=19,G911&lt;=24),"晚",AND(G911&lt;=5),"晚")</f>
        <v>上</v>
      </c>
    </row>
    <row r="912" spans="1:8" x14ac:dyDescent="0.3">
      <c r="A912" s="2">
        <v>45283.625</v>
      </c>
      <c r="B912">
        <v>29.500793502054751</v>
      </c>
      <c r="C912">
        <v>36.583407204952479</v>
      </c>
      <c r="D912">
        <v>792.39780556167193</v>
      </c>
      <c r="E912">
        <v>2.1257031354202911</v>
      </c>
      <c r="F912">
        <v>1.0222201995819371</v>
      </c>
      <c r="G912">
        <f t="shared" si="14"/>
        <v>15</v>
      </c>
      <c r="H912" t="str" cm="1">
        <f t="array" ref="H912">_xlfn.IFS(AND(G912&gt;=6,G912&lt;=12),"上",AND(G912&gt;=13,G912&lt;=18),"下",AND(G912&gt;=19,G912&lt;=24),"晚",AND(G912&lt;=5),"晚")</f>
        <v>下</v>
      </c>
    </row>
    <row r="913" spans="1:8" x14ac:dyDescent="0.3">
      <c r="A913" s="2">
        <v>44932.625</v>
      </c>
      <c r="B913">
        <v>24.476192759008249</v>
      </c>
      <c r="C913">
        <v>52.783820704759798</v>
      </c>
      <c r="D913">
        <v>495.47125680349637</v>
      </c>
      <c r="E913">
        <v>1.747083210742161</v>
      </c>
      <c r="F913">
        <v>1.5289927420092271</v>
      </c>
      <c r="G913">
        <f t="shared" si="14"/>
        <v>15</v>
      </c>
      <c r="H913" t="str" cm="1">
        <f t="array" ref="H913">_xlfn.IFS(AND(G913&gt;=6,G913&lt;=12),"上",AND(G913&gt;=13,G913&lt;=18),"下",AND(G913&gt;=19,G913&lt;=24),"晚",AND(G913&lt;=5),"晚")</f>
        <v>下</v>
      </c>
    </row>
    <row r="914" spans="1:8" x14ac:dyDescent="0.3">
      <c r="A914" s="2">
        <v>45269.625</v>
      </c>
      <c r="B914">
        <v>26.584794920331209</v>
      </c>
      <c r="C914">
        <v>67.61987239051598</v>
      </c>
      <c r="D914">
        <v>324.01486858227901</v>
      </c>
      <c r="E914">
        <v>3.6185864928151421</v>
      </c>
      <c r="F914">
        <v>1.3047031865608689</v>
      </c>
      <c r="G914">
        <f t="shared" si="14"/>
        <v>15</v>
      </c>
      <c r="H914" t="str" cm="1">
        <f t="array" ref="H914">_xlfn.IFS(AND(G914&gt;=6,G914&lt;=12),"上",AND(G914&gt;=13,G914&lt;=18),"下",AND(G914&gt;=19,G914&lt;=24),"晚",AND(G914&lt;=5),"晚")</f>
        <v>下</v>
      </c>
    </row>
    <row r="915" spans="1:8" x14ac:dyDescent="0.3">
      <c r="A915" s="2">
        <v>45058.541666666657</v>
      </c>
      <c r="B915">
        <v>26.283936205996181</v>
      </c>
      <c r="C915">
        <v>68.664265779530382</v>
      </c>
      <c r="D915">
        <v>172.55479441181649</v>
      </c>
      <c r="E915">
        <v>1.9173250152615531</v>
      </c>
      <c r="F915">
        <v>1.986748677929455</v>
      </c>
      <c r="G915">
        <f t="shared" si="14"/>
        <v>13</v>
      </c>
      <c r="H915" t="str" cm="1">
        <f t="array" ref="H915">_xlfn.IFS(AND(G915&gt;=6,G915&lt;=12),"上",AND(G915&gt;=13,G915&lt;=18),"下",AND(G915&gt;=19,G915&lt;=24),"晚",AND(G915&lt;=5),"晚")</f>
        <v>下</v>
      </c>
    </row>
    <row r="916" spans="1:8" x14ac:dyDescent="0.3">
      <c r="A916" s="2">
        <v>45079.666666666657</v>
      </c>
      <c r="B916">
        <v>22.391231753391239</v>
      </c>
      <c r="C916">
        <v>63.770109442805023</v>
      </c>
      <c r="D916">
        <v>537.2374603764938</v>
      </c>
      <c r="E916">
        <v>1.6511158506923871</v>
      </c>
      <c r="F916">
        <v>0.20875364107268171</v>
      </c>
      <c r="G916">
        <f t="shared" si="14"/>
        <v>16</v>
      </c>
      <c r="H916" t="str" cm="1">
        <f t="array" ref="H916">_xlfn.IFS(AND(G916&gt;=6,G916&lt;=12),"上",AND(G916&gt;=13,G916&lt;=18),"下",AND(G916&gt;=19,G916&lt;=24),"晚",AND(G916&lt;=5),"晚")</f>
        <v>下</v>
      </c>
    </row>
    <row r="917" spans="1:8" x14ac:dyDescent="0.3">
      <c r="A917" s="2">
        <v>44934.458333333343</v>
      </c>
      <c r="B917">
        <v>27.445755010829298</v>
      </c>
      <c r="C917">
        <v>65.556930038582578</v>
      </c>
      <c r="D917">
        <v>324.11521060884951</v>
      </c>
      <c r="E917">
        <v>1.524565103201049</v>
      </c>
      <c r="F917">
        <v>0.40731027427076649</v>
      </c>
      <c r="G917">
        <f t="shared" si="14"/>
        <v>11</v>
      </c>
      <c r="H917" t="str" cm="1">
        <f t="array" ref="H917">_xlfn.IFS(AND(G917&gt;=6,G917&lt;=12),"上",AND(G917&gt;=13,G917&lt;=18),"下",AND(G917&gt;=19,G917&lt;=24),"晚",AND(G917&lt;=5),"晚")</f>
        <v>上</v>
      </c>
    </row>
    <row r="918" spans="1:8" x14ac:dyDescent="0.3">
      <c r="A918" s="2">
        <v>45076.375</v>
      </c>
      <c r="B918">
        <v>20.679916835179391</v>
      </c>
      <c r="C918">
        <v>66.202350011812598</v>
      </c>
      <c r="D918">
        <v>716.95612529564391</v>
      </c>
      <c r="E918">
        <v>3.9553783035272319</v>
      </c>
      <c r="F918">
        <v>0.70739153724543358</v>
      </c>
      <c r="G918">
        <f t="shared" si="14"/>
        <v>9</v>
      </c>
      <c r="H918" t="str" cm="1">
        <f t="array" ref="H918">_xlfn.IFS(AND(G918&gt;=6,G918&lt;=12),"上",AND(G918&gt;=13,G918&lt;=18),"下",AND(G918&gt;=19,G918&lt;=24),"晚",AND(G918&lt;=5),"晚")</f>
        <v>上</v>
      </c>
    </row>
    <row r="919" spans="1:8" x14ac:dyDescent="0.3">
      <c r="A919" s="2">
        <v>44963</v>
      </c>
      <c r="B919">
        <v>25.75124178642594</v>
      </c>
      <c r="C919">
        <v>33.06223239229503</v>
      </c>
      <c r="D919">
        <v>316.07482169195919</v>
      </c>
      <c r="E919">
        <v>3.847646243812179</v>
      </c>
      <c r="F919">
        <v>0.11183168949716191</v>
      </c>
      <c r="G919">
        <f t="shared" si="14"/>
        <v>0</v>
      </c>
      <c r="H919" t="str" cm="1">
        <f t="array" ref="H919">_xlfn.IFS(AND(G919&gt;=6,G919&lt;=12),"上",AND(G919&gt;=13,G919&lt;=18),"下",AND(G919&gt;=19,G919&lt;=24),"晚",AND(G919&lt;=5),"晚")</f>
        <v>晚</v>
      </c>
    </row>
    <row r="920" spans="1:8" x14ac:dyDescent="0.3">
      <c r="A920" s="2">
        <v>45250.333333333343</v>
      </c>
      <c r="B920">
        <v>21.7801495837254</v>
      </c>
      <c r="C920">
        <v>64.289712842788447</v>
      </c>
      <c r="D920">
        <v>583.29208945223502</v>
      </c>
      <c r="E920">
        <v>4.7098980440630207</v>
      </c>
      <c r="F920">
        <v>1.086985805722529</v>
      </c>
      <c r="G920">
        <f t="shared" si="14"/>
        <v>8</v>
      </c>
      <c r="H920" t="str" cm="1">
        <f t="array" ref="H920">_xlfn.IFS(AND(G920&gt;=6,G920&lt;=12),"上",AND(G920&gt;=13,G920&lt;=18),"下",AND(G920&gt;=19,G920&lt;=24),"晚",AND(G920&lt;=5),"晚")</f>
        <v>上</v>
      </c>
    </row>
    <row r="921" spans="1:8" x14ac:dyDescent="0.3">
      <c r="A921" s="2">
        <v>45047.208333333343</v>
      </c>
      <c r="B921">
        <v>21.883435593947141</v>
      </c>
      <c r="C921">
        <v>46.629285089510027</v>
      </c>
      <c r="D921">
        <v>672.91268456873388</v>
      </c>
      <c r="E921">
        <v>2.0468504080202119</v>
      </c>
      <c r="F921">
        <v>1.317205894189589</v>
      </c>
      <c r="G921">
        <f t="shared" si="14"/>
        <v>5</v>
      </c>
      <c r="H921" t="str" cm="1">
        <f t="array" ref="H921">_xlfn.IFS(AND(G921&gt;=6,G921&lt;=12),"上",AND(G921&gt;=13,G921&lt;=18),"下",AND(G921&gt;=19,G921&lt;=24),"晚",AND(G921&lt;=5),"晚")</f>
        <v>晚</v>
      </c>
    </row>
    <row r="922" spans="1:8" x14ac:dyDescent="0.3">
      <c r="A922" s="2">
        <v>45151.166666666657</v>
      </c>
      <c r="B922">
        <v>29.79831543962089</v>
      </c>
      <c r="C922">
        <v>31.70662617489662</v>
      </c>
      <c r="D922">
        <v>910.60996707033485</v>
      </c>
      <c r="E922">
        <v>3.3578183342628649</v>
      </c>
      <c r="F922">
        <v>0.89559913524758572</v>
      </c>
      <c r="G922">
        <f t="shared" si="14"/>
        <v>4</v>
      </c>
      <c r="H922" t="str" cm="1">
        <f t="array" ref="H922">_xlfn.IFS(AND(G922&gt;=6,G922&lt;=12),"上",AND(G922&gt;=13,G922&lt;=18),"下",AND(G922&gt;=19,G922&lt;=24),"晚",AND(G922&lt;=5),"晚")</f>
        <v>晚</v>
      </c>
    </row>
    <row r="923" spans="1:8" x14ac:dyDescent="0.3">
      <c r="A923" s="2">
        <v>45080.416666666657</v>
      </c>
      <c r="B923">
        <v>23.845206691134099</v>
      </c>
      <c r="C923">
        <v>51.326844005024199</v>
      </c>
      <c r="D923">
        <v>914.84641818400587</v>
      </c>
      <c r="E923">
        <v>4.6784651845247254</v>
      </c>
      <c r="F923">
        <v>0.89294654975315935</v>
      </c>
      <c r="G923">
        <f t="shared" si="14"/>
        <v>10</v>
      </c>
      <c r="H923" t="str" cm="1">
        <f t="array" ref="H923">_xlfn.IFS(AND(G923&gt;=6,G923&lt;=12),"上",AND(G923&gt;=13,G923&lt;=18),"下",AND(G923&gt;=19,G923&lt;=24),"晚",AND(G923&lt;=5),"晚")</f>
        <v>上</v>
      </c>
    </row>
    <row r="924" spans="1:8" x14ac:dyDescent="0.3">
      <c r="A924" s="2">
        <v>45225.166666666657</v>
      </c>
      <c r="B924">
        <v>25.19611436480583</v>
      </c>
      <c r="C924">
        <v>34.66816182206982</v>
      </c>
      <c r="D924">
        <v>701.6486288983707</v>
      </c>
      <c r="E924">
        <v>1.8940220618268939</v>
      </c>
      <c r="F924">
        <v>1.7668297456883999</v>
      </c>
      <c r="G924">
        <f t="shared" si="14"/>
        <v>4</v>
      </c>
      <c r="H924" t="str" cm="1">
        <f t="array" ref="H924">_xlfn.IFS(AND(G924&gt;=6,G924&lt;=12),"上",AND(G924&gt;=13,G924&lt;=18),"下",AND(G924&gt;=19,G924&lt;=24),"晚",AND(G924&lt;=5),"晚")</f>
        <v>晚</v>
      </c>
    </row>
    <row r="925" spans="1:8" x14ac:dyDescent="0.3">
      <c r="A925" s="2">
        <v>45186.625</v>
      </c>
      <c r="B925">
        <v>26.651137863268509</v>
      </c>
      <c r="C925">
        <v>33.164578827517637</v>
      </c>
      <c r="D925">
        <v>292.08336726511442</v>
      </c>
      <c r="E925">
        <v>2.8158757199758688</v>
      </c>
      <c r="F925">
        <v>1.2626136390825411</v>
      </c>
      <c r="G925">
        <f t="shared" si="14"/>
        <v>15</v>
      </c>
      <c r="H925" t="str" cm="1">
        <f t="array" ref="H925">_xlfn.IFS(AND(G925&gt;=6,G925&lt;=12),"上",AND(G925&gt;=13,G925&lt;=18),"下",AND(G925&gt;=19,G925&lt;=24),"晚",AND(G925&lt;=5),"晚")</f>
        <v>下</v>
      </c>
    </row>
    <row r="926" spans="1:8" x14ac:dyDescent="0.3">
      <c r="A926" s="2">
        <v>45071</v>
      </c>
      <c r="B926">
        <v>24.98290919863323</v>
      </c>
      <c r="C926">
        <v>48.703152744500088</v>
      </c>
      <c r="D926">
        <v>154.20246505380479</v>
      </c>
      <c r="E926">
        <v>4.8632704126544617</v>
      </c>
      <c r="F926">
        <v>0.60065439615154936</v>
      </c>
      <c r="G926">
        <f t="shared" si="14"/>
        <v>0</v>
      </c>
      <c r="H926" t="str" cm="1">
        <f t="array" ref="H926">_xlfn.IFS(AND(G926&gt;=6,G926&lt;=12),"上",AND(G926&gt;=13,G926&lt;=18),"下",AND(G926&gt;=19,G926&lt;=24),"晚",AND(G926&lt;=5),"晚")</f>
        <v>晚</v>
      </c>
    </row>
    <row r="927" spans="1:8" x14ac:dyDescent="0.3">
      <c r="A927" s="2">
        <v>45172.583333333343</v>
      </c>
      <c r="B927">
        <v>27.25876439071698</v>
      </c>
      <c r="C927">
        <v>42.590759430209538</v>
      </c>
      <c r="D927">
        <v>776.99570470943581</v>
      </c>
      <c r="E927">
        <v>4.819529562069139</v>
      </c>
      <c r="F927">
        <v>0.7073272355467678</v>
      </c>
      <c r="G927">
        <f t="shared" si="14"/>
        <v>14</v>
      </c>
      <c r="H927" t="str" cm="1">
        <f t="array" ref="H927">_xlfn.IFS(AND(G927&gt;=6,G927&lt;=12),"上",AND(G927&gt;=13,G927&lt;=18),"下",AND(G927&gt;=19,G927&lt;=24),"晚",AND(G927&lt;=5),"晚")</f>
        <v>下</v>
      </c>
    </row>
    <row r="928" spans="1:8" x14ac:dyDescent="0.3">
      <c r="A928" s="2">
        <v>45248.125</v>
      </c>
      <c r="B928">
        <v>20.260302246749319</v>
      </c>
      <c r="C928">
        <v>65.252707223754101</v>
      </c>
      <c r="D928">
        <v>423.98179322237291</v>
      </c>
      <c r="E928">
        <v>3.0463445982218871</v>
      </c>
      <c r="F928">
        <v>0.48156680033548083</v>
      </c>
      <c r="G928">
        <f t="shared" si="14"/>
        <v>3</v>
      </c>
      <c r="H928" t="str" cm="1">
        <f t="array" ref="H928">_xlfn.IFS(AND(G928&gt;=6,G928&lt;=12),"上",AND(G928&gt;=13,G928&lt;=18),"下",AND(G928&gt;=19,G928&lt;=24),"晚",AND(G928&lt;=5),"晚")</f>
        <v>晚</v>
      </c>
    </row>
    <row r="929" spans="1:8" x14ac:dyDescent="0.3">
      <c r="A929" s="2">
        <v>45108.666666666657</v>
      </c>
      <c r="B929">
        <v>26.767015465698059</v>
      </c>
      <c r="C929">
        <v>42.623633738267131</v>
      </c>
      <c r="D929">
        <v>208.6096918499936</v>
      </c>
      <c r="E929">
        <v>2.7946754809923</v>
      </c>
      <c r="F929">
        <v>0.6028217092832272</v>
      </c>
      <c r="G929">
        <f t="shared" si="14"/>
        <v>16</v>
      </c>
      <c r="H929" t="str" cm="1">
        <f t="array" ref="H929">_xlfn.IFS(AND(G929&gt;=6,G929&lt;=12),"上",AND(G929&gt;=13,G929&lt;=18),"下",AND(G929&gt;=19,G929&lt;=24),"晚",AND(G929&lt;=5),"晚")</f>
        <v>下</v>
      </c>
    </row>
    <row r="930" spans="1:8" x14ac:dyDescent="0.3">
      <c r="A930" s="2">
        <v>45190.916666666657</v>
      </c>
      <c r="B930">
        <v>23.24393497519257</v>
      </c>
      <c r="C930">
        <v>62.903052046853638</v>
      </c>
      <c r="D930">
        <v>851.70871494041376</v>
      </c>
      <c r="E930">
        <v>4.7793074452006721</v>
      </c>
      <c r="F930">
        <v>1.373308200459485</v>
      </c>
      <c r="G930">
        <f t="shared" si="14"/>
        <v>22</v>
      </c>
      <c r="H930" t="str" cm="1">
        <f t="array" ref="H930">_xlfn.IFS(AND(G930&gt;=6,G930&lt;=12),"上",AND(G930&gt;=13,G930&lt;=18),"下",AND(G930&gt;=19,G930&lt;=24),"晚",AND(G930&lt;=5),"晚")</f>
        <v>晚</v>
      </c>
    </row>
    <row r="931" spans="1:8" x14ac:dyDescent="0.3">
      <c r="A931" s="2">
        <v>45119.833333333343</v>
      </c>
      <c r="B931">
        <v>28.793640969626711</v>
      </c>
      <c r="C931">
        <v>30.195648591331</v>
      </c>
      <c r="D931">
        <v>583.35852974656154</v>
      </c>
      <c r="E931">
        <v>3.397826530656487</v>
      </c>
      <c r="F931">
        <v>1.3117514557879759</v>
      </c>
      <c r="G931">
        <f t="shared" si="14"/>
        <v>20</v>
      </c>
      <c r="H931" t="str" cm="1">
        <f t="array" ref="H931">_xlfn.IFS(AND(G931&gt;=6,G931&lt;=12),"上",AND(G931&gt;=13,G931&lt;=18),"下",AND(G931&gt;=19,G931&lt;=24),"晚",AND(G931&lt;=5),"晚")</f>
        <v>晚</v>
      </c>
    </row>
    <row r="932" spans="1:8" x14ac:dyDescent="0.3">
      <c r="A932" s="2">
        <v>44970.291666666657</v>
      </c>
      <c r="B932">
        <v>21.4340792022874</v>
      </c>
      <c r="C932">
        <v>67.968341391013084</v>
      </c>
      <c r="D932">
        <v>954.11107386374761</v>
      </c>
      <c r="E932">
        <v>1.9877653227962959</v>
      </c>
      <c r="F932">
        <v>0.59712869158142856</v>
      </c>
      <c r="G932">
        <f t="shared" si="14"/>
        <v>7</v>
      </c>
      <c r="H932" t="str" cm="1">
        <f t="array" ref="H932">_xlfn.IFS(AND(G932&gt;=6,G932&lt;=12),"上",AND(G932&gt;=13,G932&lt;=18),"下",AND(G932&gt;=19,G932&lt;=24),"晚",AND(G932&lt;=5),"晚")</f>
        <v>上</v>
      </c>
    </row>
    <row r="933" spans="1:8" x14ac:dyDescent="0.3">
      <c r="A933" s="2">
        <v>45177.541666666657</v>
      </c>
      <c r="B933">
        <v>20.306434640034642</v>
      </c>
      <c r="C933">
        <v>32.173160984768479</v>
      </c>
      <c r="D933">
        <v>620.98693533880873</v>
      </c>
      <c r="E933">
        <v>3.0693067816308099</v>
      </c>
      <c r="F933">
        <v>1.125490544340445</v>
      </c>
      <c r="G933">
        <f t="shared" si="14"/>
        <v>13</v>
      </c>
      <c r="H933" t="str" cm="1">
        <f t="array" ref="H933">_xlfn.IFS(AND(G933&gt;=6,G933&lt;=12),"上",AND(G933&gt;=13,G933&lt;=18),"下",AND(G933&gt;=19,G933&lt;=24),"晚",AND(G933&lt;=5),"晚")</f>
        <v>下</v>
      </c>
    </row>
    <row r="934" spans="1:8" x14ac:dyDescent="0.3">
      <c r="A934" s="2">
        <v>45254.458333333343</v>
      </c>
      <c r="B934">
        <v>20.60951094485149</v>
      </c>
      <c r="C934">
        <v>40.515334184121947</v>
      </c>
      <c r="D934">
        <v>956.15225014631153</v>
      </c>
      <c r="E934">
        <v>3.2902121024302549</v>
      </c>
      <c r="F934">
        <v>1.7351998949427021</v>
      </c>
      <c r="G934">
        <f t="shared" si="14"/>
        <v>11</v>
      </c>
      <c r="H934" t="str" cm="1">
        <f t="array" ref="H934">_xlfn.IFS(AND(G934&gt;=6,G934&lt;=12),"上",AND(G934&gt;=13,G934&lt;=18),"下",AND(G934&gt;=19,G934&lt;=24),"晚",AND(G934&lt;=5),"晚")</f>
        <v>上</v>
      </c>
    </row>
    <row r="935" spans="1:8" x14ac:dyDescent="0.3">
      <c r="A935" s="2">
        <v>45161.75</v>
      </c>
      <c r="B935">
        <v>25.22185164099281</v>
      </c>
      <c r="C935">
        <v>30.99546277416254</v>
      </c>
      <c r="D935">
        <v>593.67769657768645</v>
      </c>
      <c r="E935">
        <v>3.2091673984474021</v>
      </c>
      <c r="F935">
        <v>0.60992091868844789</v>
      </c>
      <c r="G935">
        <f t="shared" si="14"/>
        <v>18</v>
      </c>
      <c r="H935" t="str" cm="1">
        <f t="array" ref="H935">_xlfn.IFS(AND(G935&gt;=6,G935&lt;=12),"上",AND(G935&gt;=13,G935&lt;=18),"下",AND(G935&gt;=19,G935&lt;=24),"晚",AND(G935&lt;=5),"晚")</f>
        <v>下</v>
      </c>
    </row>
    <row r="936" spans="1:8" x14ac:dyDescent="0.3">
      <c r="A936" s="2">
        <v>45103.583333333343</v>
      </c>
      <c r="B936">
        <v>22.15248671241018</v>
      </c>
      <c r="C936">
        <v>68.374197524295127</v>
      </c>
      <c r="D936">
        <v>254.78920667705401</v>
      </c>
      <c r="E936">
        <v>2.622716968303775</v>
      </c>
      <c r="F936">
        <v>0.1473027819835889</v>
      </c>
      <c r="G936">
        <f t="shared" si="14"/>
        <v>14</v>
      </c>
      <c r="H936" t="str" cm="1">
        <f t="array" ref="H936">_xlfn.IFS(AND(G936&gt;=6,G936&lt;=12),"上",AND(G936&gt;=13,G936&lt;=18),"下",AND(G936&gt;=19,G936&lt;=24),"晚",AND(G936&lt;=5),"晚")</f>
        <v>下</v>
      </c>
    </row>
    <row r="937" spans="1:8" x14ac:dyDescent="0.3">
      <c r="A937" s="2">
        <v>45204.208333333343</v>
      </c>
      <c r="B937">
        <v>27.531776942595261</v>
      </c>
      <c r="C937">
        <v>32.067404732538662</v>
      </c>
      <c r="D937">
        <v>967.57294876834931</v>
      </c>
      <c r="E937">
        <v>1.585681927286696</v>
      </c>
      <c r="F937">
        <v>0.62456391737407269</v>
      </c>
      <c r="G937">
        <f t="shared" si="14"/>
        <v>5</v>
      </c>
      <c r="H937" t="str" cm="1">
        <f t="array" ref="H937">_xlfn.IFS(AND(G937&gt;=6,G937&lt;=12),"上",AND(G937&gt;=13,G937&lt;=18),"下",AND(G937&gt;=19,G937&lt;=24),"晚",AND(G937&lt;=5),"晚")</f>
        <v>晚</v>
      </c>
    </row>
    <row r="938" spans="1:8" x14ac:dyDescent="0.3">
      <c r="A938" s="2">
        <v>45178.458333333343</v>
      </c>
      <c r="B938">
        <v>20.555260002481859</v>
      </c>
      <c r="C938">
        <v>43.960121663474879</v>
      </c>
      <c r="D938">
        <v>180.82039309693059</v>
      </c>
      <c r="E938">
        <v>4.472224904208578</v>
      </c>
      <c r="F938">
        <v>1.8873738014832631</v>
      </c>
      <c r="G938">
        <f t="shared" si="14"/>
        <v>11</v>
      </c>
      <c r="H938" t="str" cm="1">
        <f t="array" ref="H938">_xlfn.IFS(AND(G938&gt;=6,G938&lt;=12),"上",AND(G938&gt;=13,G938&lt;=18),"下",AND(G938&gt;=19,G938&lt;=24),"晚",AND(G938&lt;=5),"晚")</f>
        <v>上</v>
      </c>
    </row>
    <row r="939" spans="1:8" x14ac:dyDescent="0.3">
      <c r="A939" s="2">
        <v>45067.208333333343</v>
      </c>
      <c r="B939">
        <v>22.3482889816922</v>
      </c>
      <c r="C939">
        <v>56.553611936571549</v>
      </c>
      <c r="D939">
        <v>264.38875604454461</v>
      </c>
      <c r="E939">
        <v>1.4493122088267281</v>
      </c>
      <c r="F939">
        <v>0.13897365627256431</v>
      </c>
      <c r="G939">
        <f t="shared" si="14"/>
        <v>5</v>
      </c>
      <c r="H939" t="str" cm="1">
        <f t="array" ref="H939">_xlfn.IFS(AND(G939&gt;=6,G939&lt;=12),"上",AND(G939&gt;=13,G939&lt;=18),"下",AND(G939&gt;=19,G939&lt;=24),"晚",AND(G939&lt;=5),"晚")</f>
        <v>晚</v>
      </c>
    </row>
    <row r="940" spans="1:8" x14ac:dyDescent="0.3">
      <c r="A940" s="2">
        <v>45231.458333333343</v>
      </c>
      <c r="B940">
        <v>28.302416213705019</v>
      </c>
      <c r="C940">
        <v>42.880631864436431</v>
      </c>
      <c r="D940">
        <v>996.31259608893333</v>
      </c>
      <c r="E940">
        <v>1.5578726310986251</v>
      </c>
      <c r="F940">
        <v>0.33095005100042318</v>
      </c>
      <c r="G940">
        <f t="shared" si="14"/>
        <v>11</v>
      </c>
      <c r="H940" t="str" cm="1">
        <f t="array" ref="H940">_xlfn.IFS(AND(G940&gt;=6,G940&lt;=12),"上",AND(G940&gt;=13,G940&lt;=18),"下",AND(G940&gt;=19,G940&lt;=24),"晚",AND(G940&lt;=5),"晚")</f>
        <v>上</v>
      </c>
    </row>
    <row r="941" spans="1:8" x14ac:dyDescent="0.3">
      <c r="A941" s="2">
        <v>45089.833333333343</v>
      </c>
      <c r="B941">
        <v>20.4564115892749</v>
      </c>
      <c r="C941">
        <v>30.29946962302493</v>
      </c>
      <c r="D941">
        <v>800.73714087896451</v>
      </c>
      <c r="E941">
        <v>1.596992672738516</v>
      </c>
      <c r="F941">
        <v>0.43007607300412909</v>
      </c>
      <c r="G941">
        <f t="shared" si="14"/>
        <v>20</v>
      </c>
      <c r="H941" t="str" cm="1">
        <f t="array" ref="H941">_xlfn.IFS(AND(G941&gt;=6,G941&lt;=12),"上",AND(G941&gt;=13,G941&lt;=18),"下",AND(G941&gt;=19,G941&lt;=24),"晚",AND(G941&lt;=5),"晚")</f>
        <v>晚</v>
      </c>
    </row>
    <row r="942" spans="1:8" x14ac:dyDescent="0.3">
      <c r="A942" s="2">
        <v>45126.666666666657</v>
      </c>
      <c r="B942">
        <v>27.876128168390949</v>
      </c>
      <c r="C942">
        <v>39.622901321946898</v>
      </c>
      <c r="D942">
        <v>856.74413520215148</v>
      </c>
      <c r="E942">
        <v>1.157642021822622</v>
      </c>
      <c r="F942">
        <v>1.441986317601698</v>
      </c>
      <c r="G942">
        <f t="shared" si="14"/>
        <v>16</v>
      </c>
      <c r="H942" t="str" cm="1">
        <f t="array" ref="H942">_xlfn.IFS(AND(G942&gt;=6,G942&lt;=12),"上",AND(G942&gt;=13,G942&lt;=18),"下",AND(G942&gt;=19,G942&lt;=24),"晚",AND(G942&lt;=5),"晚")</f>
        <v>下</v>
      </c>
    </row>
    <row r="943" spans="1:8" x14ac:dyDescent="0.3">
      <c r="A943" s="2">
        <v>45151.25</v>
      </c>
      <c r="B943">
        <v>21.117650592486441</v>
      </c>
      <c r="C943">
        <v>58.587705866744727</v>
      </c>
      <c r="D943">
        <v>524.33729281811793</v>
      </c>
      <c r="E943">
        <v>4.4309273986683309</v>
      </c>
      <c r="F943">
        <v>1.9595043279632509</v>
      </c>
      <c r="G943">
        <f t="shared" si="14"/>
        <v>6</v>
      </c>
      <c r="H943" t="str" cm="1">
        <f t="array" ref="H943">_xlfn.IFS(AND(G943&gt;=6,G943&lt;=12),"上",AND(G943&gt;=13,G943&lt;=18),"下",AND(G943&gt;=19,G943&lt;=24),"晚",AND(G943&lt;=5),"晚")</f>
        <v>上</v>
      </c>
    </row>
    <row r="944" spans="1:8" x14ac:dyDescent="0.3">
      <c r="A944" s="2">
        <v>45155.541666666657</v>
      </c>
      <c r="B944">
        <v>28.427590095284739</v>
      </c>
      <c r="C944">
        <v>45.131137112848457</v>
      </c>
      <c r="D944">
        <v>440.81168553242259</v>
      </c>
      <c r="E944">
        <v>4.5668335639821223</v>
      </c>
      <c r="F944">
        <v>1.217787367617885</v>
      </c>
      <c r="G944">
        <f t="shared" si="14"/>
        <v>13</v>
      </c>
      <c r="H944" t="str" cm="1">
        <f t="array" ref="H944">_xlfn.IFS(AND(G944&gt;=6,G944&lt;=12),"上",AND(G944&gt;=13,G944&lt;=18),"下",AND(G944&gt;=19,G944&lt;=24),"晚",AND(G944&lt;=5),"晚")</f>
        <v>下</v>
      </c>
    </row>
    <row r="945" spans="1:8" x14ac:dyDescent="0.3">
      <c r="A945" s="2">
        <v>45002.708333333343</v>
      </c>
      <c r="B945">
        <v>27.840421779944169</v>
      </c>
      <c r="C945">
        <v>62.811413525312247</v>
      </c>
      <c r="D945">
        <v>344.36548443311978</v>
      </c>
      <c r="E945">
        <v>1.490254448986263</v>
      </c>
      <c r="F945">
        <v>0.26814610345428919</v>
      </c>
      <c r="G945">
        <f t="shared" si="14"/>
        <v>17</v>
      </c>
      <c r="H945" t="str" cm="1">
        <f t="array" ref="H945">_xlfn.IFS(AND(G945&gt;=6,G945&lt;=12),"上",AND(G945&gt;=13,G945&lt;=18),"下",AND(G945&gt;=19,G945&lt;=24),"晚",AND(G945&lt;=5),"晚")</f>
        <v>下</v>
      </c>
    </row>
    <row r="946" spans="1:8" x14ac:dyDescent="0.3">
      <c r="A946" s="2">
        <v>44946</v>
      </c>
      <c r="B946">
        <v>22.18755811578713</v>
      </c>
      <c r="C946">
        <v>59.559198854559</v>
      </c>
      <c r="D946">
        <v>148.45061252345641</v>
      </c>
      <c r="E946">
        <v>2.8462750088236581</v>
      </c>
      <c r="F946">
        <v>0.9701936457485878</v>
      </c>
      <c r="G946">
        <f t="shared" si="14"/>
        <v>0</v>
      </c>
      <c r="H946" t="str" cm="1">
        <f t="array" ref="H946">_xlfn.IFS(AND(G946&gt;=6,G946&lt;=12),"上",AND(G946&gt;=13,G946&lt;=18),"下",AND(G946&gt;=19,G946&lt;=24),"晚",AND(G946&lt;=5),"晚")</f>
        <v>晚</v>
      </c>
    </row>
    <row r="947" spans="1:8" x14ac:dyDescent="0.3">
      <c r="A947" s="2">
        <v>45271.25</v>
      </c>
      <c r="B947">
        <v>24.01972455506003</v>
      </c>
      <c r="C947">
        <v>53.439462955864798</v>
      </c>
      <c r="D947">
        <v>142.5856380435423</v>
      </c>
      <c r="E947">
        <v>2.5727385103354572</v>
      </c>
      <c r="F947">
        <v>1.5878338919776289</v>
      </c>
      <c r="G947">
        <f t="shared" si="14"/>
        <v>6</v>
      </c>
      <c r="H947" t="str" cm="1">
        <f t="array" ref="H947">_xlfn.IFS(AND(G947&gt;=6,G947&lt;=12),"上",AND(G947&gt;=13,G947&lt;=18),"下",AND(G947&gt;=19,G947&lt;=24),"晚",AND(G947&lt;=5),"晚")</f>
        <v>上</v>
      </c>
    </row>
    <row r="948" spans="1:8" x14ac:dyDescent="0.3">
      <c r="A948" s="2">
        <v>45151.666666666657</v>
      </c>
      <c r="B948">
        <v>24.580045603881079</v>
      </c>
      <c r="C948">
        <v>33.779013005974917</v>
      </c>
      <c r="D948">
        <v>395.1892776406321</v>
      </c>
      <c r="E948">
        <v>1.5046155432022461</v>
      </c>
      <c r="F948">
        <v>0.44026865730079268</v>
      </c>
      <c r="G948">
        <f t="shared" si="14"/>
        <v>16</v>
      </c>
      <c r="H948" t="str" cm="1">
        <f t="array" ref="H948">_xlfn.IFS(AND(G948&gt;=6,G948&lt;=12),"上",AND(G948&gt;=13,G948&lt;=18),"下",AND(G948&gt;=19,G948&lt;=24),"晚",AND(G948&lt;=5),"晚")</f>
        <v>下</v>
      </c>
    </row>
    <row r="949" spans="1:8" x14ac:dyDescent="0.3">
      <c r="A949" s="2">
        <v>45168.5</v>
      </c>
      <c r="B949">
        <v>23.937765190483081</v>
      </c>
      <c r="C949">
        <v>69.279976371618275</v>
      </c>
      <c r="D949">
        <v>301.48938136542739</v>
      </c>
      <c r="E949">
        <v>4.4575706440424279</v>
      </c>
      <c r="F949">
        <v>0.66209669582866604</v>
      </c>
      <c r="G949">
        <f t="shared" si="14"/>
        <v>12</v>
      </c>
      <c r="H949" t="str" cm="1">
        <f t="array" ref="H949">_xlfn.IFS(AND(G949&gt;=6,G949&lt;=12),"上",AND(G949&gt;=13,G949&lt;=18),"下",AND(G949&gt;=19,G949&lt;=24),"晚",AND(G949&lt;=5),"晚")</f>
        <v>上</v>
      </c>
    </row>
    <row r="950" spans="1:8" x14ac:dyDescent="0.3">
      <c r="A950" s="2">
        <v>45048.583333333343</v>
      </c>
      <c r="B950">
        <v>22.110316222337701</v>
      </c>
      <c r="C950">
        <v>50.826914275907512</v>
      </c>
      <c r="D950">
        <v>700.11010346814123</v>
      </c>
      <c r="E950">
        <v>4.4562698733045707</v>
      </c>
      <c r="F950">
        <v>1.3683915509823259</v>
      </c>
      <c r="G950">
        <f t="shared" si="14"/>
        <v>14</v>
      </c>
      <c r="H950" t="str" cm="1">
        <f t="array" ref="H950">_xlfn.IFS(AND(G950&gt;=6,G950&lt;=12),"上",AND(G950&gt;=13,G950&lt;=18),"下",AND(G950&gt;=19,G950&lt;=24),"晚",AND(G950&lt;=5),"晚")</f>
        <v>下</v>
      </c>
    </row>
    <row r="951" spans="1:8" x14ac:dyDescent="0.3">
      <c r="A951" s="2">
        <v>45147.458333333343</v>
      </c>
      <c r="B951">
        <v>22.261578701032409</v>
      </c>
      <c r="C951">
        <v>40.407171395632197</v>
      </c>
      <c r="D951">
        <v>252.6588120510458</v>
      </c>
      <c r="E951">
        <v>3.963273454887537</v>
      </c>
      <c r="F951">
        <v>0.70388589846194582</v>
      </c>
      <c r="G951">
        <f t="shared" si="14"/>
        <v>11</v>
      </c>
      <c r="H951" t="str" cm="1">
        <f t="array" ref="H951">_xlfn.IFS(AND(G951&gt;=6,G951&lt;=12),"上",AND(G951&gt;=13,G951&lt;=18),"下",AND(G951&gt;=19,G951&lt;=24),"晚",AND(G951&lt;=5),"晚")</f>
        <v>上</v>
      </c>
    </row>
    <row r="952" spans="1:8" x14ac:dyDescent="0.3">
      <c r="A952" s="2">
        <v>45087.833333333343</v>
      </c>
      <c r="B952">
        <v>26.906958658686111</v>
      </c>
      <c r="C952">
        <v>54.085385541034597</v>
      </c>
      <c r="D952">
        <v>918.14554684708719</v>
      </c>
      <c r="E952">
        <v>1.666263210257751</v>
      </c>
      <c r="F952">
        <v>1.4848300208134511</v>
      </c>
      <c r="G952">
        <f t="shared" si="14"/>
        <v>20</v>
      </c>
      <c r="H952" t="str" cm="1">
        <f t="array" ref="H952">_xlfn.IFS(AND(G952&gt;=6,G952&lt;=12),"上",AND(G952&gt;=13,G952&lt;=18),"下",AND(G952&gt;=19,G952&lt;=24),"晚",AND(G952&lt;=5),"晚")</f>
        <v>晚</v>
      </c>
    </row>
    <row r="953" spans="1:8" x14ac:dyDescent="0.3">
      <c r="A953" s="2">
        <v>45225.833333333343</v>
      </c>
      <c r="B953">
        <v>21.515571252457569</v>
      </c>
      <c r="C953">
        <v>58.27119278421938</v>
      </c>
      <c r="D953">
        <v>970.95388915133344</v>
      </c>
      <c r="E953">
        <v>2.0545185703163829</v>
      </c>
      <c r="F953">
        <v>1.610780096055483</v>
      </c>
      <c r="G953">
        <f t="shared" si="14"/>
        <v>20</v>
      </c>
      <c r="H953" t="str" cm="1">
        <f t="array" ref="H953">_xlfn.IFS(AND(G953&gt;=6,G953&lt;=12),"上",AND(G953&gt;=13,G953&lt;=18),"下",AND(G953&gt;=19,G953&lt;=24),"晚",AND(G953&lt;=5),"晚")</f>
        <v>晚</v>
      </c>
    </row>
    <row r="954" spans="1:8" x14ac:dyDescent="0.3">
      <c r="A954" s="2">
        <v>44964.916666666657</v>
      </c>
      <c r="B954">
        <v>22.819865914440239</v>
      </c>
      <c r="C954">
        <v>48.700179933895392</v>
      </c>
      <c r="D954">
        <v>527.40300224336863</v>
      </c>
      <c r="E954">
        <v>1.769216896467225</v>
      </c>
      <c r="F954">
        <v>1.6784857512325939</v>
      </c>
      <c r="G954">
        <f t="shared" si="14"/>
        <v>22</v>
      </c>
      <c r="H954" t="str" cm="1">
        <f t="array" ref="H954">_xlfn.IFS(AND(G954&gt;=6,G954&lt;=12),"上",AND(G954&gt;=13,G954&lt;=18),"下",AND(G954&gt;=19,G954&lt;=24),"晚",AND(G954&lt;=5),"晚")</f>
        <v>晚</v>
      </c>
    </row>
    <row r="955" spans="1:8" x14ac:dyDescent="0.3">
      <c r="A955" s="2">
        <v>45158</v>
      </c>
      <c r="B955">
        <v>20.630258246280938</v>
      </c>
      <c r="C955">
        <v>55.673239316211983</v>
      </c>
      <c r="D955">
        <v>146.00462311329559</v>
      </c>
      <c r="E955">
        <v>4.3298742249536124</v>
      </c>
      <c r="F955">
        <v>1.147407788709442</v>
      </c>
      <c r="G955">
        <f t="shared" si="14"/>
        <v>0</v>
      </c>
      <c r="H955" t="str" cm="1">
        <f t="array" ref="H955">_xlfn.IFS(AND(G955&gt;=6,G955&lt;=12),"上",AND(G955&gt;=13,G955&lt;=18),"下",AND(G955&gt;=19,G955&lt;=24),"晚",AND(G955&lt;=5),"晚")</f>
        <v>晚</v>
      </c>
    </row>
    <row r="956" spans="1:8" x14ac:dyDescent="0.3">
      <c r="A956" s="2">
        <v>45104.333333333343</v>
      </c>
      <c r="B956">
        <v>22.181083358351021</v>
      </c>
      <c r="C956">
        <v>34.321604726989797</v>
      </c>
      <c r="D956">
        <v>253.5709882843895</v>
      </c>
      <c r="E956">
        <v>2.8704743991293271</v>
      </c>
      <c r="F956">
        <v>0.81971035075141363</v>
      </c>
      <c r="G956">
        <f t="shared" si="14"/>
        <v>8</v>
      </c>
      <c r="H956" t="str" cm="1">
        <f t="array" ref="H956">_xlfn.IFS(AND(G956&gt;=6,G956&lt;=12),"上",AND(G956&gt;=13,G956&lt;=18),"下",AND(G956&gt;=19,G956&lt;=24),"晚",AND(G956&lt;=5),"晚")</f>
        <v>上</v>
      </c>
    </row>
    <row r="957" spans="1:8" x14ac:dyDescent="0.3">
      <c r="A957" s="2">
        <v>45227.416666666657</v>
      </c>
      <c r="B957">
        <v>20.378085503217498</v>
      </c>
      <c r="C957">
        <v>64.962622043269221</v>
      </c>
      <c r="D957">
        <v>340.4575580383065</v>
      </c>
      <c r="E957">
        <v>1.6017849343278769</v>
      </c>
      <c r="F957">
        <v>1.2750798483977559</v>
      </c>
      <c r="G957">
        <f t="shared" si="14"/>
        <v>10</v>
      </c>
      <c r="H957" t="str" cm="1">
        <f t="array" ref="H957">_xlfn.IFS(AND(G957&gt;=6,G957&lt;=12),"上",AND(G957&gt;=13,G957&lt;=18),"下",AND(G957&gt;=19,G957&lt;=24),"晚",AND(G957&lt;=5),"晚")</f>
        <v>上</v>
      </c>
    </row>
    <row r="958" spans="1:8" x14ac:dyDescent="0.3">
      <c r="A958" s="2">
        <v>45267.5</v>
      </c>
      <c r="B958">
        <v>26.983387337955911</v>
      </c>
      <c r="C958">
        <v>57.229005255217707</v>
      </c>
      <c r="D958">
        <v>888.38018931606837</v>
      </c>
      <c r="E958">
        <v>1.0403806990602591</v>
      </c>
      <c r="F958">
        <v>0.45391480954066538</v>
      </c>
      <c r="G958">
        <f t="shared" si="14"/>
        <v>12</v>
      </c>
      <c r="H958" t="str" cm="1">
        <f t="array" ref="H958">_xlfn.IFS(AND(G958&gt;=6,G958&lt;=12),"上",AND(G958&gt;=13,G958&lt;=18),"下",AND(G958&gt;=19,G958&lt;=24),"晚",AND(G958&lt;=5),"晚")</f>
        <v>上</v>
      </c>
    </row>
    <row r="959" spans="1:8" x14ac:dyDescent="0.3">
      <c r="A959" s="2">
        <v>45231.5</v>
      </c>
      <c r="B959">
        <v>24.04429085352017</v>
      </c>
      <c r="C959">
        <v>60.919478414917187</v>
      </c>
      <c r="D959">
        <v>899.44206528221139</v>
      </c>
      <c r="E959">
        <v>2.1140424484916851</v>
      </c>
      <c r="F959">
        <v>0.48867385764204169</v>
      </c>
      <c r="G959">
        <f t="shared" si="14"/>
        <v>12</v>
      </c>
      <c r="H959" t="str" cm="1">
        <f t="array" ref="H959">_xlfn.IFS(AND(G959&gt;=6,G959&lt;=12),"上",AND(G959&gt;=13,G959&lt;=18),"下",AND(G959&gt;=19,G959&lt;=24),"晚",AND(G959&lt;=5),"晚")</f>
        <v>上</v>
      </c>
    </row>
    <row r="960" spans="1:8" x14ac:dyDescent="0.3">
      <c r="A960" s="2">
        <v>45202.166666666657</v>
      </c>
      <c r="B960">
        <v>23.77668287188575</v>
      </c>
      <c r="C960">
        <v>34.54940241102868</v>
      </c>
      <c r="D960">
        <v>969.66738378368495</v>
      </c>
      <c r="E960">
        <v>4.8965222379532252</v>
      </c>
      <c r="F960">
        <v>1.6555383150706311</v>
      </c>
      <c r="G960">
        <f t="shared" si="14"/>
        <v>4</v>
      </c>
      <c r="H960" t="str" cm="1">
        <f t="array" ref="H960">_xlfn.IFS(AND(G960&gt;=6,G960&lt;=12),"上",AND(G960&gt;=13,G960&lt;=18),"下",AND(G960&gt;=19,G960&lt;=24),"晚",AND(G960&lt;=5),"晚")</f>
        <v>晚</v>
      </c>
    </row>
    <row r="961" spans="1:8" x14ac:dyDescent="0.3">
      <c r="A961" s="2">
        <v>45271.625</v>
      </c>
      <c r="B961">
        <v>24.85638236082282</v>
      </c>
      <c r="C961">
        <v>50.772107303882507</v>
      </c>
      <c r="D961">
        <v>336.38108643284721</v>
      </c>
      <c r="E961">
        <v>1.12676346198662</v>
      </c>
      <c r="F961">
        <v>1.6528278056257719</v>
      </c>
      <c r="G961">
        <f t="shared" si="14"/>
        <v>15</v>
      </c>
      <c r="H961" t="str" cm="1">
        <f t="array" ref="H961">_xlfn.IFS(AND(G961&gt;=6,G961&lt;=12),"上",AND(G961&gt;=13,G961&lt;=18),"下",AND(G961&gt;=19,G961&lt;=24),"晚",AND(G961&lt;=5),"晚")</f>
        <v>下</v>
      </c>
    </row>
    <row r="962" spans="1:8" x14ac:dyDescent="0.3">
      <c r="A962" s="2">
        <v>45114.541666666657</v>
      </c>
      <c r="B962">
        <v>22.612946145776611</v>
      </c>
      <c r="C962">
        <v>57.703791221638816</v>
      </c>
      <c r="D962">
        <v>258.23943973121033</v>
      </c>
      <c r="E962">
        <v>4.6458061079997686</v>
      </c>
      <c r="F962">
        <v>0.873038987602483</v>
      </c>
      <c r="G962">
        <f t="shared" si="14"/>
        <v>13</v>
      </c>
      <c r="H962" t="str" cm="1">
        <f t="array" ref="H962">_xlfn.IFS(AND(G962&gt;=6,G962&lt;=12),"上",AND(G962&gt;=13,G962&lt;=18),"下",AND(G962&gt;=19,G962&lt;=24),"晚",AND(G962&lt;=5),"晚")</f>
        <v>下</v>
      </c>
    </row>
    <row r="963" spans="1:8" x14ac:dyDescent="0.3">
      <c r="A963" s="2">
        <v>45239.291666666657</v>
      </c>
      <c r="B963">
        <v>23.60333592301405</v>
      </c>
      <c r="C963">
        <v>50.891313980480938</v>
      </c>
      <c r="D963">
        <v>572.34503713395361</v>
      </c>
      <c r="E963">
        <v>1.231761680250818</v>
      </c>
      <c r="F963">
        <v>0.98807166530128965</v>
      </c>
      <c r="G963">
        <f t="shared" ref="G963:G1001" si="15">HOUR(A963)</f>
        <v>7</v>
      </c>
      <c r="H963" t="str" cm="1">
        <f t="array" ref="H963">_xlfn.IFS(AND(G963&gt;=6,G963&lt;=12),"上",AND(G963&gt;=13,G963&lt;=18),"下",AND(G963&gt;=19,G963&lt;=24),"晚",AND(G963&lt;=5),"晚")</f>
        <v>上</v>
      </c>
    </row>
    <row r="964" spans="1:8" x14ac:dyDescent="0.3">
      <c r="A964" s="2">
        <v>44981.708333333343</v>
      </c>
      <c r="B964">
        <v>25.909656718148831</v>
      </c>
      <c r="C964">
        <v>33.968359782394657</v>
      </c>
      <c r="D964">
        <v>409.92269205788511</v>
      </c>
      <c r="E964">
        <v>3.6870809922982568</v>
      </c>
      <c r="F964">
        <v>0.91653091530060027</v>
      </c>
      <c r="G964">
        <f t="shared" si="15"/>
        <v>17</v>
      </c>
      <c r="H964" t="str" cm="1">
        <f t="array" ref="H964">_xlfn.IFS(AND(G964&gt;=6,G964&lt;=12),"上",AND(G964&gt;=13,G964&lt;=18),"下",AND(G964&gt;=19,G964&lt;=24),"晚",AND(G964&lt;=5),"晚")</f>
        <v>下</v>
      </c>
    </row>
    <row r="965" spans="1:8" x14ac:dyDescent="0.3">
      <c r="A965" s="2">
        <v>45209.083333333343</v>
      </c>
      <c r="B965">
        <v>22.245238664931019</v>
      </c>
      <c r="C965">
        <v>32.426367654024688</v>
      </c>
      <c r="D965">
        <v>458.31823129272237</v>
      </c>
      <c r="E965">
        <v>2.3987877200087091</v>
      </c>
      <c r="F965">
        <v>0.95952919791405511</v>
      </c>
      <c r="G965">
        <f t="shared" si="15"/>
        <v>2</v>
      </c>
      <c r="H965" t="str" cm="1">
        <f t="array" ref="H965">_xlfn.IFS(AND(G965&gt;=6,G965&lt;=12),"上",AND(G965&gt;=13,G965&lt;=18),"下",AND(G965&gt;=19,G965&lt;=24),"晚",AND(G965&lt;=5),"晚")</f>
        <v>晚</v>
      </c>
    </row>
    <row r="966" spans="1:8" x14ac:dyDescent="0.3">
      <c r="A966" s="2">
        <v>44962.708333333343</v>
      </c>
      <c r="B966">
        <v>24.619679471787109</v>
      </c>
      <c r="C966">
        <v>54.640649426244138</v>
      </c>
      <c r="D966">
        <v>507.15185893070083</v>
      </c>
      <c r="E966">
        <v>2.821993711201022</v>
      </c>
      <c r="F966">
        <v>0.5328034245669242</v>
      </c>
      <c r="G966">
        <f t="shared" si="15"/>
        <v>17</v>
      </c>
      <c r="H966" t="str" cm="1">
        <f t="array" ref="H966">_xlfn.IFS(AND(G966&gt;=6,G966&lt;=12),"上",AND(G966&gt;=13,G966&lt;=18),"下",AND(G966&gt;=19,G966&lt;=24),"晚",AND(G966&lt;=5),"晚")</f>
        <v>下</v>
      </c>
    </row>
    <row r="967" spans="1:8" x14ac:dyDescent="0.3">
      <c r="A967" s="2">
        <v>45105.333333333343</v>
      </c>
      <c r="B967">
        <v>25.749226512792159</v>
      </c>
      <c r="C967">
        <v>61.875650518397187</v>
      </c>
      <c r="D967">
        <v>154.81076623413179</v>
      </c>
      <c r="E967">
        <v>1.884555207108999</v>
      </c>
      <c r="F967">
        <v>0.51474813484823256</v>
      </c>
      <c r="G967">
        <f t="shared" si="15"/>
        <v>8</v>
      </c>
      <c r="H967" t="str" cm="1">
        <f t="array" ref="H967">_xlfn.IFS(AND(G967&gt;=6,G967&lt;=12),"上",AND(G967&gt;=13,G967&lt;=18),"下",AND(G967&gt;=19,G967&lt;=24),"晚",AND(G967&lt;=5),"晚")</f>
        <v>上</v>
      </c>
    </row>
    <row r="968" spans="1:8" x14ac:dyDescent="0.3">
      <c r="A968" s="2">
        <v>45055.833333333343</v>
      </c>
      <c r="B968">
        <v>21.380939972036678</v>
      </c>
      <c r="C968">
        <v>69.865161635873804</v>
      </c>
      <c r="D968">
        <v>392.13969654867878</v>
      </c>
      <c r="E968">
        <v>2.3541034386857871</v>
      </c>
      <c r="F968">
        <v>1.6822803939058111</v>
      </c>
      <c r="G968">
        <f t="shared" si="15"/>
        <v>20</v>
      </c>
      <c r="H968" t="str" cm="1">
        <f t="array" ref="H968">_xlfn.IFS(AND(G968&gt;=6,G968&lt;=12),"上",AND(G968&gt;=13,G968&lt;=18),"下",AND(G968&gt;=19,G968&lt;=24),"晚",AND(G968&lt;=5),"晚")</f>
        <v>晚</v>
      </c>
    </row>
    <row r="969" spans="1:8" x14ac:dyDescent="0.3">
      <c r="A969" s="2">
        <v>45148.875</v>
      </c>
      <c r="B969">
        <v>23.06969937217163</v>
      </c>
      <c r="C969">
        <v>52.728699102028443</v>
      </c>
      <c r="D969">
        <v>768.89164655025218</v>
      </c>
      <c r="E969">
        <v>2.2324245470048218</v>
      </c>
      <c r="F969">
        <v>1.367455944709989</v>
      </c>
      <c r="G969">
        <f t="shared" si="15"/>
        <v>21</v>
      </c>
      <c r="H969" t="str" cm="1">
        <f t="array" ref="H969">_xlfn.IFS(AND(G969&gt;=6,G969&lt;=12),"上",AND(G969&gt;=13,G969&lt;=18),"下",AND(G969&gt;=19,G969&lt;=24),"晚",AND(G969&lt;=5),"晚")</f>
        <v>晚</v>
      </c>
    </row>
    <row r="970" spans="1:8" x14ac:dyDescent="0.3">
      <c r="A970" s="2">
        <v>45225.291666666657</v>
      </c>
      <c r="B970">
        <v>25.52212276936104</v>
      </c>
      <c r="C970">
        <v>39.179893886668538</v>
      </c>
      <c r="D970">
        <v>530.7923115147272</v>
      </c>
      <c r="E970">
        <v>3.8356010983006601</v>
      </c>
      <c r="F970">
        <v>1.9539796403205061</v>
      </c>
      <c r="G970">
        <f t="shared" si="15"/>
        <v>7</v>
      </c>
      <c r="H970" t="str" cm="1">
        <f t="array" ref="H970">_xlfn.IFS(AND(G970&gt;=6,G970&lt;=12),"上",AND(G970&gt;=13,G970&lt;=18),"下",AND(G970&gt;=19,G970&lt;=24),"晚",AND(G970&lt;=5),"晚")</f>
        <v>上</v>
      </c>
    </row>
    <row r="971" spans="1:8" x14ac:dyDescent="0.3">
      <c r="A971" s="2">
        <v>45229.375</v>
      </c>
      <c r="B971">
        <v>24.012598151262878</v>
      </c>
      <c r="C971">
        <v>46.203062553476009</v>
      </c>
      <c r="D971">
        <v>788.94172946676861</v>
      </c>
      <c r="E971">
        <v>4.4850143259311297</v>
      </c>
      <c r="F971">
        <v>0.40442724854258483</v>
      </c>
      <c r="G971">
        <f t="shared" si="15"/>
        <v>9</v>
      </c>
      <c r="H971" t="str" cm="1">
        <f t="array" ref="H971">_xlfn.IFS(AND(G971&gt;=6,G971&lt;=12),"上",AND(G971&gt;=13,G971&lt;=18),"下",AND(G971&gt;=19,G971&lt;=24),"晚",AND(G971&lt;=5),"晚")</f>
        <v>上</v>
      </c>
    </row>
    <row r="972" spans="1:8" x14ac:dyDescent="0.3">
      <c r="A972" s="2">
        <v>45091.166666666657</v>
      </c>
      <c r="B972">
        <v>27.159946042783709</v>
      </c>
      <c r="C972">
        <v>34.265585991671138</v>
      </c>
      <c r="D972">
        <v>705.10548639780802</v>
      </c>
      <c r="E972">
        <v>2.6372663333149942</v>
      </c>
      <c r="F972">
        <v>1.854546320458381</v>
      </c>
      <c r="G972">
        <f t="shared" si="15"/>
        <v>4</v>
      </c>
      <c r="H972" t="str" cm="1">
        <f t="array" ref="H972">_xlfn.IFS(AND(G972&gt;=6,G972&lt;=12),"上",AND(G972&gt;=13,G972&lt;=18),"下",AND(G972&gt;=19,G972&lt;=24),"晚",AND(G972&lt;=5),"晚")</f>
        <v>晚</v>
      </c>
    </row>
    <row r="973" spans="1:8" x14ac:dyDescent="0.3">
      <c r="A973" s="2">
        <v>44938.791666666657</v>
      </c>
      <c r="B973">
        <v>22.313217877173081</v>
      </c>
      <c r="C973">
        <v>46.554826759054038</v>
      </c>
      <c r="D973">
        <v>947.04294508647638</v>
      </c>
      <c r="E973">
        <v>4.2648844091433054</v>
      </c>
      <c r="F973">
        <v>1.5545971731450361</v>
      </c>
      <c r="G973">
        <f t="shared" si="15"/>
        <v>19</v>
      </c>
      <c r="H973" t="str" cm="1">
        <f t="array" ref="H973">_xlfn.IFS(AND(G973&gt;=6,G973&lt;=12),"上",AND(G973&gt;=13,G973&lt;=18),"下",AND(G973&gt;=19,G973&lt;=24),"晚",AND(G973&lt;=5),"晚")</f>
        <v>晚</v>
      </c>
    </row>
    <row r="974" spans="1:8" x14ac:dyDescent="0.3">
      <c r="A974" s="2">
        <v>45098.291666666657</v>
      </c>
      <c r="B974">
        <v>24.70723710907383</v>
      </c>
      <c r="C974">
        <v>63.606691197876927</v>
      </c>
      <c r="D974">
        <v>721.31529036732127</v>
      </c>
      <c r="E974">
        <v>1.046196962556819</v>
      </c>
      <c r="F974">
        <v>1.102392016588374</v>
      </c>
      <c r="G974">
        <f t="shared" si="15"/>
        <v>7</v>
      </c>
      <c r="H974" t="str" cm="1">
        <f t="array" ref="H974">_xlfn.IFS(AND(G974&gt;=6,G974&lt;=12),"上",AND(G974&gt;=13,G974&lt;=18),"下",AND(G974&gt;=19,G974&lt;=24),"晚",AND(G974&lt;=5),"晚")</f>
        <v>上</v>
      </c>
    </row>
    <row r="975" spans="1:8" x14ac:dyDescent="0.3">
      <c r="A975" s="2">
        <v>45194.125</v>
      </c>
      <c r="B975">
        <v>28.210460704571972</v>
      </c>
      <c r="C975">
        <v>45.607988475657017</v>
      </c>
      <c r="D975">
        <v>603.59437327238811</v>
      </c>
      <c r="E975">
        <v>4.1507906930095437</v>
      </c>
      <c r="F975">
        <v>1.3411783574707969</v>
      </c>
      <c r="G975">
        <f t="shared" si="15"/>
        <v>3</v>
      </c>
      <c r="H975" t="str" cm="1">
        <f t="array" ref="H975">_xlfn.IFS(AND(G975&gt;=6,G975&lt;=12),"上",AND(G975&gt;=13,G975&lt;=18),"下",AND(G975&gt;=19,G975&lt;=24),"晚",AND(G975&lt;=5),"晚")</f>
        <v>晚</v>
      </c>
    </row>
    <row r="976" spans="1:8" x14ac:dyDescent="0.3">
      <c r="A976" s="2">
        <v>45015.125</v>
      </c>
      <c r="B976">
        <v>21.427693166936319</v>
      </c>
      <c r="C976">
        <v>32.069343032375052</v>
      </c>
      <c r="D976">
        <v>241.4543287879446</v>
      </c>
      <c r="E976">
        <v>3.103815235839968</v>
      </c>
      <c r="F976">
        <v>1.6914907824030669</v>
      </c>
      <c r="G976">
        <f t="shared" si="15"/>
        <v>3</v>
      </c>
      <c r="H976" t="str" cm="1">
        <f t="array" ref="H976">_xlfn.IFS(AND(G976&gt;=6,G976&lt;=12),"上",AND(G976&gt;=13,G976&lt;=18),"下",AND(G976&gt;=19,G976&lt;=24),"晚",AND(G976&lt;=5),"晚")</f>
        <v>晚</v>
      </c>
    </row>
    <row r="977" spans="1:8" x14ac:dyDescent="0.3">
      <c r="A977" s="2">
        <v>45089.625</v>
      </c>
      <c r="B977">
        <v>28.94927913638951</v>
      </c>
      <c r="C977">
        <v>36.63645683184162</v>
      </c>
      <c r="D977">
        <v>928.99513148900621</v>
      </c>
      <c r="E977">
        <v>4.3349156195254404</v>
      </c>
      <c r="F977">
        <v>1.1024925024728489</v>
      </c>
      <c r="G977">
        <f t="shared" si="15"/>
        <v>15</v>
      </c>
      <c r="H977" t="str" cm="1">
        <f t="array" ref="H977">_xlfn.IFS(AND(G977&gt;=6,G977&lt;=12),"上",AND(G977&gt;=13,G977&lt;=18),"下",AND(G977&gt;=19,G977&lt;=24),"晚",AND(G977&lt;=5),"晚")</f>
        <v>下</v>
      </c>
    </row>
    <row r="978" spans="1:8" x14ac:dyDescent="0.3">
      <c r="A978" s="2">
        <v>45021.333333333343</v>
      </c>
      <c r="B978">
        <v>24.472458850278901</v>
      </c>
      <c r="C978">
        <v>56.787108113281739</v>
      </c>
      <c r="D978">
        <v>997.04813146403126</v>
      </c>
      <c r="E978">
        <v>1.896162512708562</v>
      </c>
      <c r="F978">
        <v>1.3300265435702789</v>
      </c>
      <c r="G978">
        <f t="shared" si="15"/>
        <v>8</v>
      </c>
      <c r="H978" t="str" cm="1">
        <f t="array" ref="H978">_xlfn.IFS(AND(G978&gt;=6,G978&lt;=12),"上",AND(G978&gt;=13,G978&lt;=18),"下",AND(G978&gt;=19,G978&lt;=24),"晚",AND(G978&lt;=5),"晚")</f>
        <v>上</v>
      </c>
    </row>
    <row r="979" spans="1:8" x14ac:dyDescent="0.3">
      <c r="A979" s="2">
        <v>45059.333333333343</v>
      </c>
      <c r="B979">
        <v>24.798402942722682</v>
      </c>
      <c r="C979">
        <v>57.649020587796848</v>
      </c>
      <c r="D979">
        <v>858.22993981207253</v>
      </c>
      <c r="E979">
        <v>2.506971581027889</v>
      </c>
      <c r="F979">
        <v>1.9558631503308881</v>
      </c>
      <c r="G979">
        <f t="shared" si="15"/>
        <v>8</v>
      </c>
      <c r="H979" t="str" cm="1">
        <f t="array" ref="H979">_xlfn.IFS(AND(G979&gt;=6,G979&lt;=12),"上",AND(G979&gt;=13,G979&lt;=18),"下",AND(G979&gt;=19,G979&lt;=24),"晚",AND(G979&lt;=5),"晚")</f>
        <v>上</v>
      </c>
    </row>
    <row r="980" spans="1:8" x14ac:dyDescent="0.3">
      <c r="A980" s="2">
        <v>45047.75</v>
      </c>
      <c r="B980">
        <v>26.359084062356111</v>
      </c>
      <c r="C980">
        <v>37.921669983315581</v>
      </c>
      <c r="D980">
        <v>184.13116300514741</v>
      </c>
      <c r="E980">
        <v>3.7908343217517682</v>
      </c>
      <c r="F980">
        <v>1.46856292059772</v>
      </c>
      <c r="G980">
        <f t="shared" si="15"/>
        <v>18</v>
      </c>
      <c r="H980" t="str" cm="1">
        <f t="array" ref="H980">_xlfn.IFS(AND(G980&gt;=6,G980&lt;=12),"上",AND(G980&gt;=13,G980&lt;=18),"下",AND(G980&gt;=19,G980&lt;=24),"晚",AND(G980&lt;=5),"晚")</f>
        <v>下</v>
      </c>
    </row>
    <row r="981" spans="1:8" x14ac:dyDescent="0.3">
      <c r="A981" s="2">
        <v>44937.916666666657</v>
      </c>
      <c r="B981">
        <v>25.418335713243689</v>
      </c>
      <c r="C981">
        <v>62.405661687100277</v>
      </c>
      <c r="D981">
        <v>200.2801660355963</v>
      </c>
      <c r="E981">
        <v>4.3936815682613437</v>
      </c>
      <c r="F981">
        <v>0.24910116305904831</v>
      </c>
      <c r="G981">
        <f t="shared" si="15"/>
        <v>22</v>
      </c>
      <c r="H981" t="str" cm="1">
        <f t="array" ref="H981">_xlfn.IFS(AND(G981&gt;=6,G981&lt;=12),"上",AND(G981&gt;=13,G981&lt;=18),"下",AND(G981&gt;=19,G981&lt;=24),"晚",AND(G981&lt;=5),"晚")</f>
        <v>晚</v>
      </c>
    </row>
    <row r="982" spans="1:8" x14ac:dyDescent="0.3">
      <c r="A982" s="2">
        <v>45103.916666666657</v>
      </c>
      <c r="B982">
        <v>28.23250133146465</v>
      </c>
      <c r="C982">
        <v>41.234225275492527</v>
      </c>
      <c r="D982">
        <v>428.42390709610351</v>
      </c>
      <c r="E982">
        <v>2.9132662965024521</v>
      </c>
      <c r="F982">
        <v>1.461928504128182</v>
      </c>
      <c r="G982">
        <f t="shared" si="15"/>
        <v>22</v>
      </c>
      <c r="H982" t="str" cm="1">
        <f t="array" ref="H982">_xlfn.IFS(AND(G982&gt;=6,G982&lt;=12),"上",AND(G982&gt;=13,G982&lt;=18),"下",AND(G982&gt;=19,G982&lt;=24),"晚",AND(G982&lt;=5),"晚")</f>
        <v>晚</v>
      </c>
    </row>
    <row r="983" spans="1:8" x14ac:dyDescent="0.3">
      <c r="A983" s="2">
        <v>45234.541666666657</v>
      </c>
      <c r="B983">
        <v>21.86640096273522</v>
      </c>
      <c r="C983">
        <v>52.228609344433011</v>
      </c>
      <c r="D983">
        <v>726.420982828614</v>
      </c>
      <c r="E983">
        <v>4.3854401555342388</v>
      </c>
      <c r="F983">
        <v>1.9503642639864951</v>
      </c>
      <c r="G983">
        <f t="shared" si="15"/>
        <v>13</v>
      </c>
      <c r="H983" t="str" cm="1">
        <f t="array" ref="H983">_xlfn.IFS(AND(G983&gt;=6,G983&lt;=12),"上",AND(G983&gt;=13,G983&lt;=18),"下",AND(G983&gt;=19,G983&lt;=24),"晚",AND(G983&lt;=5),"晚")</f>
        <v>下</v>
      </c>
    </row>
    <row r="984" spans="1:8" x14ac:dyDescent="0.3">
      <c r="A984" s="2">
        <v>44972.125</v>
      </c>
      <c r="B984">
        <v>21.299046339830209</v>
      </c>
      <c r="C984">
        <v>42.308225689230618</v>
      </c>
      <c r="D984">
        <v>844.21402480432789</v>
      </c>
      <c r="E984">
        <v>3.1932773514807331</v>
      </c>
      <c r="F984">
        <v>0.84238592037035631</v>
      </c>
      <c r="G984">
        <f t="shared" si="15"/>
        <v>3</v>
      </c>
      <c r="H984" t="str" cm="1">
        <f t="array" ref="H984">_xlfn.IFS(AND(G984&gt;=6,G984&lt;=12),"上",AND(G984&gt;=13,G984&lt;=18),"下",AND(G984&gt;=19,G984&lt;=24),"晚",AND(G984&lt;=5),"晚")</f>
        <v>晚</v>
      </c>
    </row>
    <row r="985" spans="1:8" x14ac:dyDescent="0.3">
      <c r="A985" s="2">
        <v>44985.708333333343</v>
      </c>
      <c r="B985">
        <v>22.634846692308638</v>
      </c>
      <c r="C985">
        <v>57.724680765555071</v>
      </c>
      <c r="D985">
        <v>262.73371255519021</v>
      </c>
      <c r="E985">
        <v>4.9654841042406836</v>
      </c>
      <c r="F985">
        <v>0.18251350585209461</v>
      </c>
      <c r="G985">
        <f t="shared" si="15"/>
        <v>17</v>
      </c>
      <c r="H985" t="str" cm="1">
        <f t="array" ref="H985">_xlfn.IFS(AND(G985&gt;=6,G985&lt;=12),"上",AND(G985&gt;=13,G985&lt;=18),"下",AND(G985&gt;=19,G985&lt;=24),"晚",AND(G985&lt;=5),"晚")</f>
        <v>下</v>
      </c>
    </row>
    <row r="986" spans="1:8" x14ac:dyDescent="0.3">
      <c r="A986" s="2">
        <v>44967.75</v>
      </c>
      <c r="B986">
        <v>29.978133537694148</v>
      </c>
      <c r="C986">
        <v>45.027004593926783</v>
      </c>
      <c r="D986">
        <v>662.71633997789206</v>
      </c>
      <c r="E986">
        <v>4.6188446946686206</v>
      </c>
      <c r="F986">
        <v>1.4819186262787629</v>
      </c>
      <c r="G986">
        <f t="shared" si="15"/>
        <v>18</v>
      </c>
      <c r="H986" t="str" cm="1">
        <f t="array" ref="H986">_xlfn.IFS(AND(G986&gt;=6,G986&lt;=12),"上",AND(G986&gt;=13,G986&lt;=18),"下",AND(G986&gt;=19,G986&lt;=24),"晚",AND(G986&lt;=5),"晚")</f>
        <v>下</v>
      </c>
    </row>
    <row r="987" spans="1:8" x14ac:dyDescent="0.3">
      <c r="A987" s="2">
        <v>45120.791666666657</v>
      </c>
      <c r="B987">
        <v>20.988644162326018</v>
      </c>
      <c r="C987">
        <v>60.472276912775563</v>
      </c>
      <c r="D987">
        <v>243.6098343372301</v>
      </c>
      <c r="E987">
        <v>2.5425116296687071</v>
      </c>
      <c r="F987">
        <v>0.68737740710910478</v>
      </c>
      <c r="G987">
        <f t="shared" si="15"/>
        <v>19</v>
      </c>
      <c r="H987" t="str" cm="1">
        <f t="array" ref="H987">_xlfn.IFS(AND(G987&gt;=6,G987&lt;=12),"上",AND(G987&gt;=13,G987&lt;=18),"下",AND(G987&gt;=19,G987&lt;=24),"晚",AND(G987&lt;=5),"晚")</f>
        <v>晚</v>
      </c>
    </row>
    <row r="988" spans="1:8" x14ac:dyDescent="0.3">
      <c r="A988" s="2">
        <v>45267.25</v>
      </c>
      <c r="B988">
        <v>25.30451809335489</v>
      </c>
      <c r="C988">
        <v>49.33704386612294</v>
      </c>
      <c r="D988">
        <v>200.8936419521529</v>
      </c>
      <c r="E988">
        <v>4.8219305292788359</v>
      </c>
      <c r="F988">
        <v>1.844058575433619</v>
      </c>
      <c r="G988">
        <f t="shared" si="15"/>
        <v>6</v>
      </c>
      <c r="H988" t="str" cm="1">
        <f t="array" ref="H988">_xlfn.IFS(AND(G988&gt;=6,G988&lt;=12),"上",AND(G988&gt;=13,G988&lt;=18),"下",AND(G988&gt;=19,G988&lt;=24),"晚",AND(G988&lt;=5),"晚")</f>
        <v>上</v>
      </c>
    </row>
    <row r="989" spans="1:8" x14ac:dyDescent="0.3">
      <c r="A989" s="2">
        <v>45029.875</v>
      </c>
      <c r="B989">
        <v>27.73380735276282</v>
      </c>
      <c r="C989">
        <v>55.610809347357801</v>
      </c>
      <c r="D989">
        <v>523.87505333336924</v>
      </c>
      <c r="E989">
        <v>4.0613672583930054</v>
      </c>
      <c r="F989">
        <v>0.44682370106451219</v>
      </c>
      <c r="G989">
        <f t="shared" si="15"/>
        <v>21</v>
      </c>
      <c r="H989" t="str" cm="1">
        <f t="array" ref="H989">_xlfn.IFS(AND(G989&gt;=6,G989&lt;=12),"上",AND(G989&gt;=13,G989&lt;=18),"下",AND(G989&gt;=19,G989&lt;=24),"晚",AND(G989&lt;=5),"晚")</f>
        <v>晚</v>
      </c>
    </row>
    <row r="990" spans="1:8" x14ac:dyDescent="0.3">
      <c r="A990" s="2">
        <v>45183.25</v>
      </c>
      <c r="B990">
        <v>28.325961533454588</v>
      </c>
      <c r="C990">
        <v>67.042125510403849</v>
      </c>
      <c r="D990">
        <v>874.93950041485596</v>
      </c>
      <c r="E990">
        <v>3.1020108794556949</v>
      </c>
      <c r="F990">
        <v>0.81567044519182519</v>
      </c>
      <c r="G990">
        <f t="shared" si="15"/>
        <v>6</v>
      </c>
      <c r="H990" t="str" cm="1">
        <f t="array" ref="H990">_xlfn.IFS(AND(G990&gt;=6,G990&lt;=12),"上",AND(G990&gt;=13,G990&lt;=18),"下",AND(G990&gt;=19,G990&lt;=24),"晚",AND(G990&lt;=5),"晚")</f>
        <v>上</v>
      </c>
    </row>
    <row r="991" spans="1:8" x14ac:dyDescent="0.3">
      <c r="A991" s="2">
        <v>45241.708333333343</v>
      </c>
      <c r="B991">
        <v>29.57424692995756</v>
      </c>
      <c r="C991">
        <v>47.41379124003776</v>
      </c>
      <c r="D991">
        <v>664.93509725563206</v>
      </c>
      <c r="E991">
        <v>4.9641728103831522</v>
      </c>
      <c r="F991">
        <v>0.1449863362690772</v>
      </c>
      <c r="G991">
        <f t="shared" si="15"/>
        <v>17</v>
      </c>
      <c r="H991" t="str" cm="1">
        <f t="array" ref="H991">_xlfn.IFS(AND(G991&gt;=6,G991&lt;=12),"上",AND(G991&gt;=13,G991&lt;=18),"下",AND(G991&gt;=19,G991&lt;=24),"晚",AND(G991&lt;=5),"晚")</f>
        <v>下</v>
      </c>
    </row>
    <row r="992" spans="1:8" x14ac:dyDescent="0.3">
      <c r="A992" s="2">
        <v>45069.416666666657</v>
      </c>
      <c r="B992">
        <v>29.951669004889169</v>
      </c>
      <c r="C992">
        <v>52.025799005170697</v>
      </c>
      <c r="D992">
        <v>713.38928537419963</v>
      </c>
      <c r="E992">
        <v>3.7799333148812009</v>
      </c>
      <c r="F992">
        <v>0.93353469325969396</v>
      </c>
      <c r="G992">
        <f t="shared" si="15"/>
        <v>10</v>
      </c>
      <c r="H992" t="str" cm="1">
        <f t="array" ref="H992">_xlfn.IFS(AND(G992&gt;=6,G992&lt;=12),"上",AND(G992&gt;=13,G992&lt;=18),"下",AND(G992&gt;=19,G992&lt;=24),"晚",AND(G992&lt;=5),"晚")</f>
        <v>上</v>
      </c>
    </row>
    <row r="993" spans="1:8" x14ac:dyDescent="0.3">
      <c r="A993" s="2">
        <v>45066</v>
      </c>
      <c r="B993">
        <v>25.52256157687755</v>
      </c>
      <c r="C993">
        <v>37.56471158195356</v>
      </c>
      <c r="D993">
        <v>453.84953536865447</v>
      </c>
      <c r="E993">
        <v>1.7784275699599681</v>
      </c>
      <c r="F993">
        <v>0.46100707508818978</v>
      </c>
      <c r="G993">
        <f t="shared" si="15"/>
        <v>0</v>
      </c>
      <c r="H993" t="str" cm="1">
        <f t="array" ref="H993">_xlfn.IFS(AND(G993&gt;=6,G993&lt;=12),"上",AND(G993&gt;=13,G993&lt;=18),"下",AND(G993&gt;=19,G993&lt;=24),"晚",AND(G993&lt;=5),"晚")</f>
        <v>晚</v>
      </c>
    </row>
    <row r="994" spans="1:8" x14ac:dyDescent="0.3">
      <c r="A994" s="2">
        <v>44970.5</v>
      </c>
      <c r="B994">
        <v>22.40786840982134</v>
      </c>
      <c r="C994">
        <v>57.737290526408692</v>
      </c>
      <c r="D994">
        <v>340.19232946497971</v>
      </c>
      <c r="E994">
        <v>1.4561470354642441</v>
      </c>
      <c r="F994">
        <v>1.2344753996381459</v>
      </c>
      <c r="G994">
        <f t="shared" si="15"/>
        <v>12</v>
      </c>
      <c r="H994" t="str" cm="1">
        <f t="array" ref="H994">_xlfn.IFS(AND(G994&gt;=6,G994&lt;=12),"上",AND(G994&gt;=13,G994&lt;=18),"下",AND(G994&gt;=19,G994&lt;=24),"晚",AND(G994&lt;=5),"晚")</f>
        <v>上</v>
      </c>
    </row>
    <row r="995" spans="1:8" x14ac:dyDescent="0.3">
      <c r="A995" s="2">
        <v>44949.625</v>
      </c>
      <c r="B995">
        <v>25.198964435330289</v>
      </c>
      <c r="C995">
        <v>38.508297948896278</v>
      </c>
      <c r="D995">
        <v>938.88683180258715</v>
      </c>
      <c r="E995">
        <v>2.0484630569650419</v>
      </c>
      <c r="F995">
        <v>1.5177543980334971</v>
      </c>
      <c r="G995">
        <f t="shared" si="15"/>
        <v>15</v>
      </c>
      <c r="H995" t="str" cm="1">
        <f t="array" ref="H995">_xlfn.IFS(AND(G995&gt;=6,G995&lt;=12),"上",AND(G995&gt;=13,G995&lt;=18),"下",AND(G995&gt;=19,G995&lt;=24),"晚",AND(G995&lt;=5),"晚")</f>
        <v>下</v>
      </c>
    </row>
    <row r="996" spans="1:8" x14ac:dyDescent="0.3">
      <c r="A996" s="2">
        <v>44996.75</v>
      </c>
      <c r="B996">
        <v>27.360321826115531</v>
      </c>
      <c r="C996">
        <v>57.598328299467987</v>
      </c>
      <c r="D996">
        <v>470.26762465537581</v>
      </c>
      <c r="E996">
        <v>3.94200893384639</v>
      </c>
      <c r="F996">
        <v>0.63169577785507347</v>
      </c>
      <c r="G996">
        <f t="shared" si="15"/>
        <v>18</v>
      </c>
      <c r="H996" t="str" cm="1">
        <f t="array" ref="H996">_xlfn.IFS(AND(G996&gt;=6,G996&lt;=12),"上",AND(G996&gt;=13,G996&lt;=18),"下",AND(G996&gt;=19,G996&lt;=24),"晚",AND(G996&lt;=5),"晚")</f>
        <v>下</v>
      </c>
    </row>
    <row r="997" spans="1:8" x14ac:dyDescent="0.3">
      <c r="A997" s="2">
        <v>45173.833333333343</v>
      </c>
      <c r="B997">
        <v>24.76667702577419</v>
      </c>
      <c r="C997">
        <v>66.92733721372835</v>
      </c>
      <c r="D997">
        <v>562.0640525309534</v>
      </c>
      <c r="E997">
        <v>3.201787279821501</v>
      </c>
      <c r="F997">
        <v>0.35408928685702162</v>
      </c>
      <c r="G997">
        <f t="shared" si="15"/>
        <v>20</v>
      </c>
      <c r="H997" t="str" cm="1">
        <f t="array" ref="H997">_xlfn.IFS(AND(G997&gt;=6,G997&lt;=12),"上",AND(G997&gt;=13,G997&lt;=18),"下",AND(G997&gt;=19,G997&lt;=24),"晚",AND(G997&lt;=5),"晚")</f>
        <v>晚</v>
      </c>
    </row>
    <row r="998" spans="1:8" x14ac:dyDescent="0.3">
      <c r="A998" s="2">
        <v>45061.958333333343</v>
      </c>
      <c r="B998">
        <v>22.72310197459899</v>
      </c>
      <c r="C998">
        <v>67.652035570422839</v>
      </c>
      <c r="D998">
        <v>164.99981190785141</v>
      </c>
      <c r="E998">
        <v>2.588605334155262</v>
      </c>
      <c r="F998">
        <v>0.32751278057438188</v>
      </c>
      <c r="G998">
        <f t="shared" si="15"/>
        <v>23</v>
      </c>
      <c r="H998" t="str" cm="1">
        <f t="array" ref="H998">_xlfn.IFS(AND(G998&gt;=6,G998&lt;=12),"上",AND(G998&gt;=13,G998&lt;=18),"下",AND(G998&gt;=19,G998&lt;=24),"晚",AND(G998&lt;=5),"晚")</f>
        <v>晚</v>
      </c>
    </row>
    <row r="999" spans="1:8" x14ac:dyDescent="0.3">
      <c r="A999" s="2">
        <v>45079.833333333343</v>
      </c>
      <c r="B999">
        <v>28.220930249401871</v>
      </c>
      <c r="C999">
        <v>62.073127417346171</v>
      </c>
      <c r="D999">
        <v>162.23625106428071</v>
      </c>
      <c r="E999">
        <v>4.0337180828523076</v>
      </c>
      <c r="F999">
        <v>0.58399973477976563</v>
      </c>
      <c r="G999">
        <f t="shared" si="15"/>
        <v>20</v>
      </c>
      <c r="H999" t="str" cm="1">
        <f t="array" ref="H999">_xlfn.IFS(AND(G999&gt;=6,G999&lt;=12),"上",AND(G999&gt;=13,G999&lt;=18),"下",AND(G999&gt;=19,G999&lt;=24),"晚",AND(G999&lt;=5),"晚")</f>
        <v>晚</v>
      </c>
    </row>
    <row r="1000" spans="1:8" x14ac:dyDescent="0.3">
      <c r="A1000" s="2">
        <v>45184.541666666657</v>
      </c>
      <c r="B1000">
        <v>28.29114888382783</v>
      </c>
      <c r="C1000">
        <v>51.565783863714763</v>
      </c>
      <c r="D1000">
        <v>782.25758051949458</v>
      </c>
      <c r="E1000">
        <v>1.095149709881547</v>
      </c>
      <c r="F1000">
        <v>1.674000686530019</v>
      </c>
      <c r="G1000">
        <f t="shared" si="15"/>
        <v>13</v>
      </c>
      <c r="H1000" t="str" cm="1">
        <f t="array" ref="H1000">_xlfn.IFS(AND(G1000&gt;=6,G1000&lt;=12),"上",AND(G1000&gt;=13,G1000&lt;=18),"下",AND(G1000&gt;=19,G1000&lt;=24),"晚",AND(G1000&lt;=5),"晚")</f>
        <v>下</v>
      </c>
    </row>
    <row r="1001" spans="1:8" x14ac:dyDescent="0.3">
      <c r="A1001" s="2">
        <v>44976.291666666657</v>
      </c>
      <c r="B1001">
        <v>25.50647891318464</v>
      </c>
      <c r="C1001">
        <v>63.488741153197743</v>
      </c>
      <c r="D1001">
        <v>938.80540147982902</v>
      </c>
      <c r="E1001">
        <v>4.2543003198049156</v>
      </c>
      <c r="F1001">
        <v>0.92283159848813334</v>
      </c>
      <c r="G1001">
        <f t="shared" si="15"/>
        <v>7</v>
      </c>
      <c r="H1001" t="str" cm="1">
        <f t="array" ref="H1001">_xlfn.IFS(AND(G1001&gt;=6,G1001&lt;=12),"上",AND(G1001&gt;=13,G1001&lt;=18),"下",AND(G1001&gt;=19,G1001&lt;=24),"晚",AND(G1001&lt;=5),"晚")</f>
        <v>上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羊 小</cp:lastModifiedBy>
  <dcterms:created xsi:type="dcterms:W3CDTF">2024-09-08T06:19:10Z</dcterms:created>
  <dcterms:modified xsi:type="dcterms:W3CDTF">2026-03-28T02:33:27Z</dcterms:modified>
</cp:coreProperties>
</file>